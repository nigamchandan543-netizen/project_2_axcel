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CB331A58-A6DF-4585-8A5A-F40C587E4AD9}" xr6:coauthVersionLast="47" xr6:coauthVersionMax="47" xr10:uidLastSave="{00000000-0000-0000-0000-000000000000}"/>
  <bookViews>
    <workbookView xWindow="0" yWindow="0" windowWidth="0" windowHeight="0" activeTab="7" xr2:uid="{00000000-000D-0000-FFFF-FFFF00000000}"/>
  </bookViews>
  <sheets>
    <sheet name="Sales Data" sheetId="2" r:id="rId1"/>
    <sheet name="Customer Analysis" sheetId="3" r:id="rId2"/>
    <sheet name="Monthly Growth" sheetId="4" r:id="rId3"/>
    <sheet name="What-If Analysis" sheetId="5" r:id="rId4"/>
    <sheet name="Stats &amp; Regression" sheetId="6" r:id="rId5"/>
    <sheet name="Pivot Analysis" sheetId="7" r:id="rId6"/>
    <sheet name="Charts" sheetId="8" r:id="rId7"/>
    <sheet name="Dashboard" sheetId="9" r:id="rId8"/>
  </sheets>
  <definedNames>
    <definedName name="_xlnm._FilterDatabase" localSheetId="0" hidden="1">'Sales Data'!$A$3:$M$203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  <c r="B15" i="5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B60" i="3"/>
  <c r="B59" i="3"/>
  <c r="B58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B61" i="3" s="1"/>
  <c r="G4" i="3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B32" i="5" l="1"/>
  <c r="C32" i="5" s="1"/>
  <c r="D32" i="5" s="1"/>
  <c r="B31" i="5"/>
  <c r="C31" i="5" s="1"/>
  <c r="D31" i="5" s="1"/>
  <c r="B30" i="5"/>
  <c r="C30" i="5" s="1"/>
  <c r="D30" i="5" s="1"/>
  <c r="B29" i="5"/>
  <c r="C29" i="5" s="1"/>
  <c r="D29" i="5" s="1"/>
  <c r="B28" i="5"/>
  <c r="C28" i="5" s="1"/>
  <c r="D28" i="5" s="1"/>
  <c r="B27" i="5"/>
  <c r="C27" i="5" s="1"/>
  <c r="D27" i="5" s="1"/>
  <c r="B26" i="5"/>
  <c r="C26" i="5" s="1"/>
  <c r="D26" i="5" s="1"/>
  <c r="B16" i="5"/>
  <c r="B17" i="5" s="1"/>
  <c r="B19" i="5" s="1"/>
  <c r="B21" i="5" l="1"/>
  <c r="B20" i="5"/>
</calcChain>
</file>

<file path=xl/sharedStrings.xml><?xml version="1.0" encoding="utf-8"?>
<sst xmlns="http://schemas.openxmlformats.org/spreadsheetml/2006/main" count="1311" uniqueCount="419">
  <si>
    <t>PR. 2 ANALYZER - SALES DATASET</t>
  </si>
  <si>
    <t>OrderID</t>
  </si>
  <si>
    <t>Date</t>
  </si>
  <si>
    <t>Month</t>
  </si>
  <si>
    <t>Customer</t>
  </si>
  <si>
    <t>Region</t>
  </si>
  <si>
    <t>Product</t>
  </si>
  <si>
    <t>Quantity</t>
  </si>
  <si>
    <t>UnitPrice</t>
  </si>
  <si>
    <t>Discount</t>
  </si>
  <si>
    <t>Sales</t>
  </si>
  <si>
    <t>Cost</t>
  </si>
  <si>
    <t>Profit</t>
  </si>
  <si>
    <t>Timestamp</t>
  </si>
  <si>
    <t>ORD-1097</t>
  </si>
  <si>
    <t>Jan-2024</t>
  </si>
  <si>
    <t>Moon Tech</t>
  </si>
  <si>
    <t>East</t>
  </si>
  <si>
    <t>Smartphone</t>
  </si>
  <si>
    <t>ORD-1092</t>
  </si>
  <si>
    <t>Solar Dynamics</t>
  </si>
  <si>
    <t>Central</t>
  </si>
  <si>
    <t>Monitor</t>
  </si>
  <si>
    <t>ORD-1156</t>
  </si>
  <si>
    <t>Stellar Group</t>
  </si>
  <si>
    <t>North</t>
  </si>
  <si>
    <t>Tablet</t>
  </si>
  <si>
    <t>ORD-1080</t>
  </si>
  <si>
    <t>Zenith Corp</t>
  </si>
  <si>
    <t>Laptop</t>
  </si>
  <si>
    <t>ORD-1111</t>
  </si>
  <si>
    <t>ORD-1053</t>
  </si>
  <si>
    <t>Vertex Systems</t>
  </si>
  <si>
    <t>Keyboard</t>
  </si>
  <si>
    <t>ORD-1011</t>
  </si>
  <si>
    <t>Mercury Group</t>
  </si>
  <si>
    <t>ORD-1141</t>
  </si>
  <si>
    <t>Mars Tech</t>
  </si>
  <si>
    <t>South</t>
  </si>
  <si>
    <t>ORD-1130</t>
  </si>
  <si>
    <t>Mouse</t>
  </si>
  <si>
    <t>ORD-1047</t>
  </si>
  <si>
    <t>Jupiter Ltd</t>
  </si>
  <si>
    <t>ORD-1200</t>
  </si>
  <si>
    <t>Pinnacle Inc</t>
  </si>
  <si>
    <t>ORD-1132</t>
  </si>
  <si>
    <t>Pulsar Group</t>
  </si>
  <si>
    <t>ORD-1173</t>
  </si>
  <si>
    <t>Infinity Corp</t>
  </si>
  <si>
    <t>ORD-1032</t>
  </si>
  <si>
    <t>Pluto Systems</t>
  </si>
  <si>
    <t>ORD-1025</t>
  </si>
  <si>
    <t>Global Tech</t>
  </si>
  <si>
    <t>ORD-1071</t>
  </si>
  <si>
    <t>Feb-2024</t>
  </si>
  <si>
    <t>Apex Dynamics</t>
  </si>
  <si>
    <t>ORD-1157</t>
  </si>
  <si>
    <t>Eclipse Co</t>
  </si>
  <si>
    <t>ORD-1036</t>
  </si>
  <si>
    <t>Cosmos Ltd</t>
  </si>
  <si>
    <t>ORD-1021</t>
  </si>
  <si>
    <t>Cascade Systems</t>
  </si>
  <si>
    <t>ORD-1039</t>
  </si>
  <si>
    <t>Atlas Holdings</t>
  </si>
  <si>
    <t>ORD-1100</t>
  </si>
  <si>
    <t>Headphones</t>
  </si>
  <si>
    <t>ORD-1046</t>
  </si>
  <si>
    <t>Frontier Tech</t>
  </si>
  <si>
    <t>Printer</t>
  </si>
  <si>
    <t>ORD-1160</t>
  </si>
  <si>
    <t>Orbit Solutions</t>
  </si>
  <si>
    <t>West</t>
  </si>
  <si>
    <t>ORD-1104</t>
  </si>
  <si>
    <t>Nexus Industries</t>
  </si>
  <si>
    <t>ORD-1131</t>
  </si>
  <si>
    <t>Sun Solutions</t>
  </si>
  <si>
    <t>ORD-1188</t>
  </si>
  <si>
    <t>Comet Corp</t>
  </si>
  <si>
    <t>ORD-1031</t>
  </si>
  <si>
    <t>ORD-1151</t>
  </si>
  <si>
    <t>Prime Solutions</t>
  </si>
  <si>
    <t>ORD-1127</t>
  </si>
  <si>
    <t>Venus Corp</t>
  </si>
  <si>
    <t>ORD-1198</t>
  </si>
  <si>
    <t>ORD-1001</t>
  </si>
  <si>
    <t>ORD-1042</t>
  </si>
  <si>
    <t>ORD-1065</t>
  </si>
  <si>
    <t>Meteor Ltd</t>
  </si>
  <si>
    <t>ORD-1181</t>
  </si>
  <si>
    <t>ORD-1029</t>
  </si>
  <si>
    <t>Astra Technologies</t>
  </si>
  <si>
    <t>ORD-1119</t>
  </si>
  <si>
    <t>Summit Enterprises</t>
  </si>
  <si>
    <t>ORD-1166</t>
  </si>
  <si>
    <t>Mar-2024</t>
  </si>
  <si>
    <t>Horizon Ltd</t>
  </si>
  <si>
    <t>ORD-1145</t>
  </si>
  <si>
    <t>ORD-1014</t>
  </si>
  <si>
    <t>Universe Inc</t>
  </si>
  <si>
    <t>ORD-1154</t>
  </si>
  <si>
    <t>ORD-1164</t>
  </si>
  <si>
    <t>ORD-1184</t>
  </si>
  <si>
    <t>Galaxy Systems</t>
  </si>
  <si>
    <t>ORD-1004</t>
  </si>
  <si>
    <t>Planet Systems</t>
  </si>
  <si>
    <t>ORD-1128</t>
  </si>
  <si>
    <t>ORD-1017</t>
  </si>
  <si>
    <t>Acme Corp</t>
  </si>
  <si>
    <t>ORD-1015</t>
  </si>
  <si>
    <t>Stellar Tech</t>
  </si>
  <si>
    <t>ORD-1082</t>
  </si>
  <si>
    <t>ORD-1061</t>
  </si>
  <si>
    <t>ORD-1155</t>
  </si>
  <si>
    <t>ORD-1142</t>
  </si>
  <si>
    <t>ORD-1049</t>
  </si>
  <si>
    <t>Andromeda Tech</t>
  </si>
  <si>
    <t>ORD-1077</t>
  </si>
  <si>
    <t>Apr-2024</t>
  </si>
  <si>
    <t>ORD-1083</t>
  </si>
  <si>
    <t>Phoenix Group</t>
  </si>
  <si>
    <t>ORD-1197</t>
  </si>
  <si>
    <t>ORD-1081</t>
  </si>
  <si>
    <t>ORD-1074</t>
  </si>
  <si>
    <t>ORD-1182</t>
  </si>
  <si>
    <t>ORD-1144</t>
  </si>
  <si>
    <t>Lunar Systems</t>
  </si>
  <si>
    <t>ORD-1007</t>
  </si>
  <si>
    <t>ORD-1002</t>
  </si>
  <si>
    <t>ORD-1146</t>
  </si>
  <si>
    <t>ORD-1125</t>
  </si>
  <si>
    <t>ORD-1062</t>
  </si>
  <si>
    <t>Earth Systems</t>
  </si>
  <si>
    <t>ORD-1069</t>
  </si>
  <si>
    <t>May-2024</t>
  </si>
  <si>
    <t>ORD-1134</t>
  </si>
  <si>
    <t>Star Corp</t>
  </si>
  <si>
    <t>ORD-1027</t>
  </si>
  <si>
    <t>ORD-1088</t>
  </si>
  <si>
    <t>ORD-1101</t>
  </si>
  <si>
    <t>ORD-1050</t>
  </si>
  <si>
    <t>Nebula Inc</t>
  </si>
  <si>
    <t>ORD-1044</t>
  </si>
  <si>
    <t>ORD-1143</t>
  </si>
  <si>
    <t>Nova Technologies</t>
  </si>
  <si>
    <t>ORD-1090</t>
  </si>
  <si>
    <t>ORD-1038</t>
  </si>
  <si>
    <t>ORD-1010</t>
  </si>
  <si>
    <t>ORD-1109</t>
  </si>
  <si>
    <t>Neptune Corp</t>
  </si>
  <si>
    <t>ORD-1120</t>
  </si>
  <si>
    <t>ORD-1170</t>
  </si>
  <si>
    <t>ORD-1052</t>
  </si>
  <si>
    <t>ORD-1150</t>
  </si>
  <si>
    <t>ORD-1177</t>
  </si>
  <si>
    <t>ORD-1006</t>
  </si>
  <si>
    <t>ORD-1059</t>
  </si>
  <si>
    <t>Jun-2024</t>
  </si>
  <si>
    <t>ORD-1020</t>
  </si>
  <si>
    <t>ORD-1012</t>
  </si>
  <si>
    <t>Titan Industries</t>
  </si>
  <si>
    <t>ORD-1110</t>
  </si>
  <si>
    <t>ORD-1129</t>
  </si>
  <si>
    <t>ORD-1194</t>
  </si>
  <si>
    <t>ORD-1192</t>
  </si>
  <si>
    <t>ORD-1024</t>
  </si>
  <si>
    <t>ORD-1099</t>
  </si>
  <si>
    <t>ORD-1136</t>
  </si>
  <si>
    <t>ORD-1040</t>
  </si>
  <si>
    <t>ORD-1183</t>
  </si>
  <si>
    <t>ORD-1168</t>
  </si>
  <si>
    <t>Quantum Labs</t>
  </si>
  <si>
    <t>ORD-1079</t>
  </si>
  <si>
    <t>Omega Solutions</t>
  </si>
  <si>
    <t>ORD-1073</t>
  </si>
  <si>
    <t>ORD-1167</t>
  </si>
  <si>
    <t>ORD-1048</t>
  </si>
  <si>
    <t>ORD-1093</t>
  </si>
  <si>
    <t>Jul-2024</t>
  </si>
  <si>
    <t>ORD-1165</t>
  </si>
  <si>
    <t>ORD-1199</t>
  </si>
  <si>
    <t>ORD-1089</t>
  </si>
  <si>
    <t>ORD-1078</t>
  </si>
  <si>
    <t>ORD-1137</t>
  </si>
  <si>
    <t>ORD-1076</t>
  </si>
  <si>
    <t>ORD-1023</t>
  </si>
  <si>
    <t>ORD-1114</t>
  </si>
  <si>
    <t>ORD-1171</t>
  </si>
  <si>
    <t>ORD-1115</t>
  </si>
  <si>
    <t>ORD-1180</t>
  </si>
  <si>
    <t>ORD-1091</t>
  </si>
  <si>
    <t>ORD-1113</t>
  </si>
  <si>
    <t>ORD-1028</t>
  </si>
  <si>
    <t>ORD-1133</t>
  </si>
  <si>
    <t>ORD-1072</t>
  </si>
  <si>
    <t>Aug-2024</t>
  </si>
  <si>
    <t>ORD-1162</t>
  </si>
  <si>
    <t>Saturn Inc</t>
  </si>
  <si>
    <t>ORD-1175</t>
  </si>
  <si>
    <t>ORD-1117</t>
  </si>
  <si>
    <t>ORD-1191</t>
  </si>
  <si>
    <t>ORD-1112</t>
  </si>
  <si>
    <t>ORD-1186</t>
  </si>
  <si>
    <t>ORD-1003</t>
  </si>
  <si>
    <t>ORD-1190</t>
  </si>
  <si>
    <t>ORD-1152</t>
  </si>
  <si>
    <t>ORD-1163</t>
  </si>
  <si>
    <t>ORD-1106</t>
  </si>
  <si>
    <t>ORD-1172</t>
  </si>
  <si>
    <t>ORD-1051</t>
  </si>
  <si>
    <t>ORD-1086</t>
  </si>
  <si>
    <t>ORD-1179</t>
  </si>
  <si>
    <t>ORD-1187</t>
  </si>
  <si>
    <t>ORD-1030</t>
  </si>
  <si>
    <t>ORD-1147</t>
  </si>
  <si>
    <t>ORD-1063</t>
  </si>
  <si>
    <t>ORD-1068</t>
  </si>
  <si>
    <t>ORD-1159</t>
  </si>
  <si>
    <t>Sep-2024</t>
  </si>
  <si>
    <t>ORD-1026</t>
  </si>
  <si>
    <t>ORD-1174</t>
  </si>
  <si>
    <t>ORD-1148</t>
  </si>
  <si>
    <t>ORD-1139</t>
  </si>
  <si>
    <t>Delta Dynamics</t>
  </si>
  <si>
    <t>ORD-1116</t>
  </si>
  <si>
    <t>ORD-1035</t>
  </si>
  <si>
    <t>ORD-1122</t>
  </si>
  <si>
    <t>ORD-1102</t>
  </si>
  <si>
    <t>ORD-1096</t>
  </si>
  <si>
    <t>ORD-1022</t>
  </si>
  <si>
    <t>ORD-1019</t>
  </si>
  <si>
    <t>ORD-1178</t>
  </si>
  <si>
    <t>ORD-1095</t>
  </si>
  <si>
    <t>Oct-2024</t>
  </si>
  <si>
    <t>ORD-1056</t>
  </si>
  <si>
    <t>ORD-1087</t>
  </si>
  <si>
    <t>ORD-1070</t>
  </si>
  <si>
    <t>ORD-1124</t>
  </si>
  <si>
    <t>ORD-1107</t>
  </si>
  <si>
    <t>ORD-1161</t>
  </si>
  <si>
    <t>ORD-1058</t>
  </si>
  <si>
    <t>ORD-1016</t>
  </si>
  <si>
    <t>ORD-1193</t>
  </si>
  <si>
    <t>ORD-1066</t>
  </si>
  <si>
    <t>ORD-1013</t>
  </si>
  <si>
    <t>ORD-1169</t>
  </si>
  <si>
    <t>Galaxy Holdings</t>
  </si>
  <si>
    <t>ORD-1153</t>
  </si>
  <si>
    <t>ORD-1189</t>
  </si>
  <si>
    <t>ORD-1055</t>
  </si>
  <si>
    <t>ORD-1185</t>
  </si>
  <si>
    <t>ORD-1034</t>
  </si>
  <si>
    <t>Uranus Group</t>
  </si>
  <si>
    <t>ORD-1108</t>
  </si>
  <si>
    <t>ORD-1037</t>
  </si>
  <si>
    <t>ORD-1067</t>
  </si>
  <si>
    <t>ORD-1054</t>
  </si>
  <si>
    <t>Nov-2024</t>
  </si>
  <si>
    <t>ORD-1121</t>
  </si>
  <si>
    <t>ORD-1176</t>
  </si>
  <si>
    <t>ORD-1084</t>
  </si>
  <si>
    <t>ORD-1043</t>
  </si>
  <si>
    <t>ORD-1005</t>
  </si>
  <si>
    <t>ORD-1060</t>
  </si>
  <si>
    <t>ORD-1041</t>
  </si>
  <si>
    <t>ORD-1158</t>
  </si>
  <si>
    <t>ORD-1103</t>
  </si>
  <si>
    <t>ORD-1018</t>
  </si>
  <si>
    <t>ORD-1008</t>
  </si>
  <si>
    <t>ORD-1045</t>
  </si>
  <si>
    <t>ORD-1085</t>
  </si>
  <si>
    <t>ORD-1123</t>
  </si>
  <si>
    <t>Dec-2024</t>
  </si>
  <si>
    <t>ORD-1140</t>
  </si>
  <si>
    <t>ORD-1057</t>
  </si>
  <si>
    <t>ORD-1126</t>
  </si>
  <si>
    <t>ORD-1135</t>
  </si>
  <si>
    <t>ORD-1075</t>
  </si>
  <si>
    <t>ORD-1009</t>
  </si>
  <si>
    <t>Cosmic Tech</t>
  </si>
  <si>
    <t>ORD-1196</t>
  </si>
  <si>
    <t>ORD-1105</t>
  </si>
  <si>
    <t>ORD-1033</t>
  </si>
  <si>
    <t>ORD-1149</t>
  </si>
  <si>
    <t>ORD-1064</t>
  </si>
  <si>
    <t>ORD-1098</t>
  </si>
  <si>
    <t>ORD-1138</t>
  </si>
  <si>
    <t>ORD-1094</t>
  </si>
  <si>
    <t>ORD-1195</t>
  </si>
  <si>
    <t>ORD-1118</t>
  </si>
  <si>
    <t>CUSTOMER ANALYSIS</t>
  </si>
  <si>
    <t>Total Sales</t>
  </si>
  <si>
    <t>Total Profit</t>
  </si>
  <si>
    <t>Order Count</t>
  </si>
  <si>
    <t>Avg Order Value</t>
  </si>
  <si>
    <t>Profit Margin</t>
  </si>
  <si>
    <t>Rank</t>
  </si>
  <si>
    <t>High-Value Flag</t>
  </si>
  <si>
    <t>HIGH-VALUE CUSTOMER LOOKUP (using INDEX + MATCH)</t>
  </si>
  <si>
    <t>Enter Customer Name →</t>
  </si>
  <si>
    <t>Total Sales:</t>
  </si>
  <si>
    <t>Total Profit:</t>
  </si>
  <si>
    <t>Order Count:</t>
  </si>
  <si>
    <t>High-Value Status:</t>
  </si>
  <si>
    <t>MONTHLY SALES GROWTH ANALYSIS</t>
  </si>
  <si>
    <t>Orders</t>
  </si>
  <si>
    <t>Sales Growth %</t>
  </si>
  <si>
    <t>Growth Indicator</t>
  </si>
  <si>
    <t>2024-01</t>
  </si>
  <si>
    <t>-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</si>
  <si>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</si>
  <si>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</si>
  <si>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</si>
  <si>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</si>
  <si>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</si>
  <si>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</si>
  <si>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</si>
  <si>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</si>
  <si>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</si>
  <si>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</si>
  <si>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</si>
  <si>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WHAT-IF ANALYSIS: Impact of Discount on Total Profit</t>
  </si>
  <si>
    <t>CURRENT STATE</t>
  </si>
  <si>
    <t>Total Sales (Current):</t>
  </si>
  <si>
    <t>Total Cost (Current):</t>
  </si>
  <si>
    <t>Total Profit (Current):</t>
  </si>
  <si>
    <t>Average Discount (Current):</t>
  </si>
  <si>
    <t>SCENARIO INPUTS (Change Yellow Cells)</t>
  </si>
  <si>
    <t>New Discount Rate:</t>
  </si>
  <si>
    <t>Sales Volume Change:</t>
  </si>
  <si>
    <t>SCENARIO RESULTS</t>
  </si>
  <si>
    <t>Estimated Gross Sales (before discount):</t>
  </si>
  <si>
    <t>Adjusted Gross Sales (with volume change):</t>
  </si>
  <si>
    <t>New Net Sales (after new discount):</t>
  </si>
  <si>
    <t>Estimated Cost (scaled by volume):</t>
  </si>
  <si>
    <t>New Total Profit:</t>
  </si>
  <si>
    <t>Profit Change ($):</t>
  </si>
  <si>
    <t>Profit Change (%):</t>
  </si>
  <si>
    <t>SENSITIVITY TABLE: Profit at Different Discount Rates</t>
  </si>
  <si>
    <t>Discount Rate</t>
  </si>
  <si>
    <t>Net Sales</t>
  </si>
  <si>
    <t>Est. Profit</t>
  </si>
  <si>
    <t>vs Current</t>
  </si>
  <si>
    <t>DESCRIPTIVE STATISTICS &amp; LINEAR REGRESSION</t>
  </si>
  <si>
    <t>DESCRIPTIVE STATISTICS (Simulated Data Analysis ToolPak Output)</t>
  </si>
  <si>
    <t>Statistic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</si>
  <si>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</si>
  <si>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</si>
  <si>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</si>
  <si>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</si>
  <si>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</si>
  <si>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</si>
  <si>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</si>
  <si>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</si>
  <si>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</si>
  <si>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</si>
  <si>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</si>
  <si>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</si>
  <si>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</si>
  <si>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LINEAR REGRESSION: Profit vs Sales (Simulated ToolPak Regression Output)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</si>
  <si>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</si>
  <si>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</si>
  <si>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</si>
  <si>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</si>
  <si>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</si>
  <si>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</si>
  <si>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</si>
  <si>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</si>
  <si>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</si>
  <si>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</si>
  <si>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</si>
  <si>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</si>
  <si>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</si>
  <si>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≈0.000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</si>
  <si>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</si>
  <si>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</si>
  <si>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</si>
  <si>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</si>
  <si>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</si>
  <si>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</si>
  <si>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</si>
  <si>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</si>
  <si>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Sales (X Variable)</t>
  </si>
  <si>
    <t>PIVOT TABLE ANALYSIS: Sales by Region &amp; Product</t>
  </si>
  <si>
    <t>SALES BY REGION × PRODUCT (Pivot-style Summary)</t>
  </si>
  <si>
    <t>Region \ Product</t>
  </si>
  <si>
    <t>PROFIT BY REGION × PRODUCT</t>
  </si>
  <si>
    <t>REGION SUMMARY (for Charts)</t>
  </si>
  <si>
    <t>PRODUCT SUMMARY (for Charts)</t>
  </si>
  <si>
    <t>Units Sold</t>
  </si>
  <si>
    <t>KPI VISUALIZATIONS</t>
  </si>
  <si>
    <t>Sales by Region</t>
  </si>
  <si>
    <t>Sales by Product</t>
  </si>
  <si>
    <t>Monthly Sales Trend Data</t>
  </si>
  <si>
    <t>📊 EXECUTIVE DASHBOARD - PR. 2 ANALYZER</t>
  </si>
  <si>
    <t>Task 10: Summarize insights using a dashboard | Data as of analysis date</t>
  </si>
  <si>
    <t>Total Orders</t>
  </si>
  <si>
    <t>Unique Customers</t>
  </si>
  <si>
    <t>$2,219,177</t>
  </si>
  <si>
    <t>$804,754</t>
  </si>
  <si>
    <t>36.3%</t>
  </si>
  <si>
    <t>200</t>
  </si>
  <si>
    <t>$11,096</t>
  </si>
  <si>
    <t>50</t>
  </si>
  <si>
    <t>KEY INSIGHTS</t>
  </si>
  <si>
    <t>1. Top performing region: Central with $670,259 in sales</t>
  </si>
  <si>
    <t>2. Best-selling product: Laptop generating $1,067,034</t>
  </si>
  <si>
    <t>3. Highest-value customer: Mars Tech ($142,694 total purchases)</t>
  </si>
  <si>
    <t>4. Best profit margin region: Central</t>
  </si>
  <si>
    <t>5. Overall profit margin: 36.3% — Healthy</t>
  </si>
  <si>
    <t>6. Average discount given: 10.2% — Use What-If sheet to optimize</t>
  </si>
  <si>
    <t>TOP 5 CUSTOMERS BY SALES</t>
  </si>
  <si>
    <t>REGION PERFORMANCE</t>
  </si>
  <si>
    <t>Margin</t>
  </si>
  <si>
    <t>RECOMMENDATIONS</t>
  </si>
  <si>
    <t>• Focus sales efforts on top-performing regions and products identified above</t>
  </si>
  <si>
    <t>• Review discount strategy using the What-If Analysis sheet — higher discounts may increase volume but reduce margins</t>
  </si>
  <si>
    <t>• Prioritize high-value customers (top 20%) for retention programs and personalized offers</t>
  </si>
  <si>
    <t>• Investigate underperforming regions/products for improvement opportunities</t>
  </si>
  <si>
    <t>• Monitor monthly growth trends (see Monthly Growth sheet) and respond to declining periods quickly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</si>
</sst>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dd\-mmm\-yyyy"/>
    <numFmt numFmtId="166" formatCode="\$#,##0.00"/>
    <numFmt numFmtId="167" formatCode="dd\-mmm\-yyyy\ hh:mm:ss"/>
    <numFmt numFmtId="168" formatCode="0.0%"/>
    <numFmt numFmtId="169" formatCode="\$#,##0.00;\(\$#,##0.00\)"/>
    <numFmt numFmtId="170" formatCode="0.0000"/>
    <numFmt numFmtId="171" formatCode="\$#,##0"/>
  </numFmts>
  <fonts count="20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6"/>
      <color rgb="FF1F4E79"/>
      <name val="Arial"/>
    </font>
    <font>
      <i/>
      <sz val="10"/>
      <color rgb="FF666666"/>
      <name val="Arial"/>
    </font>
    <font>
      <sz val="10"/>
      <color rgb="FF000000"/>
      <name val="Arial"/>
    </font>
    <font>
      <b/>
      <sz val="12"/>
      <color rgb="FF1F4E79"/>
      <name val="Arial"/>
    </font>
    <font>
      <b/>
      <sz val="10"/>
      <name val="Arial"/>
    </font>
    <font>
      <i/>
      <sz val="10"/>
      <name val="Arial"/>
    </font>
    <font>
      <i/>
      <sz val="9"/>
      <color rgb="FF666666"/>
      <name val="Arial"/>
    </font>
    <font>
      <b/>
      <sz val="12"/>
      <name val="Arial"/>
    </font>
    <font>
      <b/>
      <sz val="11"/>
      <name val="Arial"/>
    </font>
    <font>
      <b/>
      <sz val="9"/>
      <name val="Arial"/>
    </font>
    <font>
      <b/>
      <sz val="18"/>
      <color rgb="FFFFFFFF"/>
      <name val="Arial"/>
    </font>
    <font>
      <i/>
      <sz val="10"/>
      <color rgb="FFFFFFFF"/>
      <name val="Arial"/>
    </font>
    <font>
      <b/>
      <sz val="9"/>
      <color rgb="FF1F4E79"/>
      <name val="Arial"/>
    </font>
    <font>
      <b/>
      <sz val="14"/>
      <color rgb="FF1F4E79"/>
      <name val="Arial"/>
    </font>
    <font>
      <b/>
      <sz val="11"/>
      <color rgb="FFFFFFFF"/>
      <name val="Arial"/>
    </font>
    <font>
      <sz val="9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F3CF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E8DAEF"/>
      </patternFill>
    </fill>
    <fill>
      <patternFill patternType="solid">
        <fgColor rgb="FFF2F3F4"/>
      </patternFill>
    </fill>
    <fill>
      <patternFill patternType="solid">
        <fgColor rgb="FF82E0AA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FDEBD0"/>
      </patternFill>
    </fill>
    <fill>
      <patternFill patternType="solid">
        <fgColor rgb="FFFADBD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7" fillId="5" borderId="0" xfId="0" applyFont="1" applyFill="1"/>
    <xf numFmtId="0" fontId="7" fillId="4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3" fillId="3" borderId="2" xfId="0" applyFont="1" applyFill="1" applyBorder="1"/>
    <xf numFmtId="0" fontId="0" fillId="0" borderId="1" xfId="0" applyBorder="1"/>
    <xf numFmtId="166" fontId="6" fillId="4" borderId="1" xfId="0" applyNumberFormat="1" applyFont="1" applyFill="1" applyBorder="1"/>
    <xf numFmtId="0" fontId="6" fillId="4" borderId="1" xfId="0" applyFont="1" applyFill="1" applyBorder="1"/>
    <xf numFmtId="168" fontId="6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166" fontId="6" fillId="0" borderId="1" xfId="0" applyNumberFormat="1" applyFont="1" applyBorder="1"/>
    <xf numFmtId="168" fontId="6" fillId="0" borderId="1" xfId="0" applyNumberFormat="1" applyFont="1" applyBorder="1"/>
    <xf numFmtId="9" fontId="3" fillId="3" borderId="2" xfId="0" applyNumberFormat="1" applyFont="1" applyFill="1" applyBorder="1"/>
    <xf numFmtId="0" fontId="10" fillId="0" borderId="0" xfId="0" applyFont="1"/>
    <xf numFmtId="166" fontId="11" fillId="4" borderId="1" xfId="0" applyNumberFormat="1" applyFont="1" applyFill="1" applyBorder="1"/>
    <xf numFmtId="169" fontId="6" fillId="0" borderId="1" xfId="0" applyNumberFormat="1" applyFont="1" applyBorder="1"/>
    <xf numFmtId="9" fontId="3" fillId="3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9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/>
    <xf numFmtId="0" fontId="6" fillId="0" borderId="1" xfId="0" applyFont="1" applyBorder="1"/>
    <xf numFmtId="0" fontId="12" fillId="0" borderId="0" xfId="0" applyFont="1"/>
    <xf numFmtId="0" fontId="8" fillId="5" borderId="0" xfId="0" applyFont="1" applyFill="1"/>
    <xf numFmtId="170" fontId="6" fillId="0" borderId="1" xfId="0" applyNumberFormat="1" applyFont="1" applyBorder="1"/>
    <xf numFmtId="0" fontId="13" fillId="7" borderId="1" xfId="0" applyFont="1" applyFill="1" applyBorder="1"/>
    <xf numFmtId="2" fontId="6" fillId="0" borderId="1" xfId="0" applyNumberFormat="1" applyFont="1" applyBorder="1"/>
    <xf numFmtId="0" fontId="8" fillId="5" borderId="1" xfId="0" applyFont="1" applyFill="1" applyBorder="1"/>
    <xf numFmtId="171" fontId="6" fillId="0" borderId="1" xfId="0" applyNumberFormat="1" applyFont="1" applyBorder="1" applyAlignment="1">
      <alignment horizontal="center" vertical="center" wrapText="1"/>
    </xf>
    <xf numFmtId="171" fontId="8" fillId="4" borderId="1" xfId="0" applyNumberFormat="1" applyFont="1" applyFill="1" applyBorder="1"/>
    <xf numFmtId="0" fontId="8" fillId="4" borderId="1" xfId="0" applyFont="1" applyFill="1" applyBorder="1"/>
    <xf numFmtId="171" fontId="8" fillId="8" borderId="1" xfId="0" applyNumberFormat="1" applyFont="1" applyFill="1" applyBorder="1"/>
    <xf numFmtId="0" fontId="8" fillId="6" borderId="1" xfId="0" applyFont="1" applyFill="1" applyBorder="1"/>
    <xf numFmtId="166" fontId="0" fillId="0" borderId="1" xfId="0" applyNumberFormat="1" applyBorder="1"/>
    <xf numFmtId="168" fontId="0" fillId="0" borderId="1" xfId="0" applyNumberFormat="1" applyBorder="1"/>
    <xf numFmtId="171" fontId="0" fillId="0" borderId="1" xfId="0" applyNumberFormat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171" fontId="0" fillId="4" borderId="1" xfId="0" applyNumberFormat="1" applyFill="1" applyBorder="1"/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6" fillId="5" borderId="1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4" fillId="0" borderId="0" xfId="0" applyFont="1" applyAlignment="1"/>
    <xf numFmtId="0" fontId="7" fillId="0" borderId="0" xfId="0" applyFont="1" applyAlignment="1"/>
    <xf numFmtId="0" fontId="5" fillId="0" borderId="0" xfId="0" applyFont="1" applyAlignment="1"/>
    <xf numFmtId="0" fontId="7" fillId="3" borderId="0" xfId="0" applyFont="1" applyFill="1" applyAlignment="1"/>
    <xf numFmtId="0" fontId="7" fillId="5" borderId="0" xfId="0" applyFont="1" applyFill="1" applyAlignment="1"/>
    <xf numFmtId="0" fontId="7" fillId="6" borderId="0" xfId="0" applyFont="1" applyFill="1" applyAlignment="1"/>
    <xf numFmtId="0" fontId="0" fillId="0" borderId="3" xfId="0" applyBorder="1" applyAlignment="1"/>
    <xf numFmtId="0" fontId="1" fillId="9" borderId="0" xfId="0" applyFont="1" applyFill="1" applyAlignment="1"/>
    <xf numFmtId="0" fontId="18" fillId="9" borderId="0" xfId="0" applyFont="1" applyFill="1" applyAlignment="1"/>
    <xf numFmtId="0" fontId="2" fillId="0" borderId="0" xfId="0" applyFont="1" applyAlignment="1"/>
    <xf numFmtId="0" fontId="19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82E0AA"/>
          <bgColor rgb="FF82E0A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Growth'!B3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Growth'!$A$4:$A$15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'Monthly Growth'!$B$4:$B$15</c:f>
              <c:numCache>
                <c:formatCode>\$#,##0.00</c:formatCode>
                <c:ptCount val="12"/>
                <c:pt idx="0">
                  <c:v>224012.78</c:v>
                </c:pt>
                <c:pt idx="1">
                  <c:v>368866.21</c:v>
                </c:pt>
                <c:pt idx="2">
                  <c:v>180873.32</c:v>
                </c:pt>
                <c:pt idx="3">
                  <c:v>77849.09</c:v>
                </c:pt>
                <c:pt idx="4">
                  <c:v>220981.55</c:v>
                </c:pt>
                <c:pt idx="5">
                  <c:v>147974.69</c:v>
                </c:pt>
                <c:pt idx="6">
                  <c:v>124617.27</c:v>
                </c:pt>
                <c:pt idx="7">
                  <c:v>197561.79</c:v>
                </c:pt>
                <c:pt idx="8">
                  <c:v>194036.44</c:v>
                </c:pt>
                <c:pt idx="9">
                  <c:v>242354.41</c:v>
                </c:pt>
                <c:pt idx="10">
                  <c:v>111531.55</c:v>
                </c:pt>
                <c:pt idx="11">
                  <c:v>128517.43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B7-4033-B6AD-2344C4C3F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&amp; Profit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Charts!B5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Charts!$B$6:$B$10</c:f>
              <c:numCache>
                <c:formatCode>\$#,##0</c:formatCode>
                <c:ptCount val="5"/>
                <c:pt idx="0">
                  <c:v>670259.44999999995</c:v>
                </c:pt>
                <c:pt idx="1">
                  <c:v>491161.96</c:v>
                </c:pt>
                <c:pt idx="2">
                  <c:v>460349.15</c:v>
                </c:pt>
                <c:pt idx="3">
                  <c:v>327862.64</c:v>
                </c:pt>
                <c:pt idx="4">
                  <c:v>269543.33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0-427C-9FAF-02E091DEABDE}"/>
            </c:ext>
          </c:extLst>
        </c:ser>
        <c:ser>
          <c:idx val="1"/>
          <c:order val="1"/>
          <c:tx>
            <c:strRef>
              <c:f>Charts!C5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Charts!$C$6:$C$10</c:f>
              <c:numCache>
                <c:formatCode>\$#,##0</c:formatCode>
                <c:ptCount val="5"/>
                <c:pt idx="0">
                  <c:v>251468.09</c:v>
                </c:pt>
                <c:pt idx="1">
                  <c:v>170454.87</c:v>
                </c:pt>
                <c:pt idx="2">
                  <c:v>167112.35</c:v>
                </c:pt>
                <c:pt idx="3">
                  <c:v>115043.37</c:v>
                </c:pt>
                <c:pt idx="4">
                  <c:v>100675.05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0-427C-9FAF-02E091DEA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Distribution by Product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Charts!B14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Charts!$A$15:$A$22</c:f>
              <c:strCache>
                <c:ptCount val="8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Smartphone</c:v>
                </c:pt>
                <c:pt idx="7">
                  <c:v>Tablet</c:v>
                </c:pt>
              </c:strCache>
            </c:strRef>
          </c:cat>
          <c:val>
            <c:numRef>
              <c:f>Charts!$B$15:$B$22</c:f>
              <c:numCache>
                <c:formatCode>\$#,##0</c:formatCode>
                <c:ptCount val="8"/>
                <c:pt idx="0">
                  <c:v>84040.73000000001</c:v>
                </c:pt>
                <c:pt idx="1">
                  <c:v>39774.6</c:v>
                </c:pt>
                <c:pt idx="2">
                  <c:v>1067033.96</c:v>
                </c:pt>
                <c:pt idx="3">
                  <c:v>222977.75</c:v>
                </c:pt>
                <c:pt idx="4">
                  <c:v>28573.24</c:v>
                </c:pt>
                <c:pt idx="5">
                  <c:v>99017.67</c:v>
                </c:pt>
                <c:pt idx="6">
                  <c:v>420035.38</c:v>
                </c:pt>
                <c:pt idx="7">
                  <c:v>257723.2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3-463C-9FEA-D00A34A15533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Sales &amp; Profit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Charts!B26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Charts!$A$27:$A$38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Charts!$B$27:$B$38</c:f>
              <c:numCache>
                <c:formatCode>\$#,##0</c:formatCode>
                <c:ptCount val="12"/>
                <c:pt idx="0">
                  <c:v>224012.78</c:v>
                </c:pt>
                <c:pt idx="1">
                  <c:v>368866.21</c:v>
                </c:pt>
                <c:pt idx="2">
                  <c:v>180873.32</c:v>
                </c:pt>
                <c:pt idx="3">
                  <c:v>77849.09</c:v>
                </c:pt>
                <c:pt idx="4">
                  <c:v>220981.55</c:v>
                </c:pt>
                <c:pt idx="5">
                  <c:v>147974.69</c:v>
                </c:pt>
                <c:pt idx="6">
                  <c:v>124617.27</c:v>
                </c:pt>
                <c:pt idx="7">
                  <c:v>197561.79</c:v>
                </c:pt>
                <c:pt idx="8">
                  <c:v>194036.44</c:v>
                </c:pt>
                <c:pt idx="9">
                  <c:v>242354.41</c:v>
                </c:pt>
                <c:pt idx="10">
                  <c:v>111531.55</c:v>
                </c:pt>
                <c:pt idx="11">
                  <c:v>128517.43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85-43DC-9D76-A39CCC2AB14B}"/>
            </c:ext>
          </c:extLst>
        </c:ser>
        <c:ser>
          <c:idx val="1"/>
          <c:order val="1"/>
          <c:tx>
            <c:strRef>
              <c:f>Charts!C26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Charts!$A$27:$A$38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Charts!$C$27:$C$38</c:f>
              <c:numCache>
                <c:formatCode>\$#,##0</c:formatCode>
                <c:ptCount val="12"/>
                <c:pt idx="0">
                  <c:v>77487.73</c:v>
                </c:pt>
                <c:pt idx="1">
                  <c:v>130216.13</c:v>
                </c:pt>
                <c:pt idx="2">
                  <c:v>69680.97</c:v>
                </c:pt>
                <c:pt idx="3">
                  <c:v>30278.84</c:v>
                </c:pt>
                <c:pt idx="4">
                  <c:v>80448.5</c:v>
                </c:pt>
                <c:pt idx="5">
                  <c:v>55637.55</c:v>
                </c:pt>
                <c:pt idx="6">
                  <c:v>48062</c:v>
                </c:pt>
                <c:pt idx="7">
                  <c:v>72062.48</c:v>
                </c:pt>
                <c:pt idx="8">
                  <c:v>70501.919999999998</c:v>
                </c:pt>
                <c:pt idx="9">
                  <c:v>79664.639999999999</c:v>
                </c:pt>
                <c:pt idx="10">
                  <c:v>42419.33</c:v>
                </c:pt>
                <c:pt idx="11">
                  <c:v>48293.64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685-43DC-9D76-A39CCC2AB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43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15</xdr:row>
      <xdr:rowOff>0</xdr:rowOff>
    </xdr:from>
    <xdr:ext cx="43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27</xdr:row>
      <xdr:rowOff>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3"/>
  <sheetViews>
    <sheetView workbookViewId="0">
      <pane ySplit="3" topLeftCell="A62" activePane="bottomLeft" state="frozen"/>
      <selection pane="bottomLeft" activeCell="A2" sqref="A2:XFD2"/>
    </sheetView>
  </sheetViews>
  <sheetFormatPr defaultRowHeight="15"/>
  <cols>
    <col min="1" max="1" width="12" customWidth="1"/>
    <col min="2" max="2" width="14" customWidth="1"/>
    <col min="3" max="3" width="12" customWidth="1"/>
    <col min="4" max="4" width="18" customWidth="1"/>
    <col min="5" max="5" width="10" customWidth="1"/>
    <col min="6" max="6" width="12" customWidth="1"/>
    <col min="7" max="7" width="10" customWidth="1"/>
    <col min="8" max="8" width="12" customWidth="1"/>
    <col min="9" max="9" width="10" customWidth="1"/>
    <col min="10" max="12" width="12" customWidth="1"/>
    <col min="13" max="13" width="20" customWidth="1"/>
  </cols>
  <sheetData>
    <row r="1" spans="1:13" ht="20.25">
      <c r="A1" s="50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3" spans="1:1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</row>
    <row r="4" spans="1:13">
      <c r="A4" s="6" t="s">
        <v>14</v>
      </c>
      <c r="B4" s="7">
        <v>45299</v>
      </c>
      <c r="C4" s="6" t="s">
        <v>15</v>
      </c>
      <c r="D4" s="6" t="s">
        <v>16</v>
      </c>
      <c r="E4" s="6" t="s">
        <v>17</v>
      </c>
      <c r="F4" s="6" t="s">
        <v>18</v>
      </c>
      <c r="G4" s="6">
        <v>13</v>
      </c>
      <c r="H4" s="8">
        <v>767.4</v>
      </c>
      <c r="I4" s="9">
        <v>0.1</v>
      </c>
      <c r="J4" s="8">
        <v>8978.57</v>
      </c>
      <c r="K4" s="8">
        <v>5260.44</v>
      </c>
      <c r="L4" s="8">
        <v>3718.13</v>
      </c>
      <c r="M4" s="10">
        <f ca="1">NOW()</f>
        <v>46307.471562152779</v>
      </c>
    </row>
    <row r="5" spans="1:13">
      <c r="A5" s="6" t="s">
        <v>19</v>
      </c>
      <c r="B5" s="7">
        <v>45300</v>
      </c>
      <c r="C5" s="6" t="s">
        <v>15</v>
      </c>
      <c r="D5" s="6" t="s">
        <v>20</v>
      </c>
      <c r="E5" s="6" t="s">
        <v>21</v>
      </c>
      <c r="F5" s="6" t="s">
        <v>22</v>
      </c>
      <c r="G5" s="6">
        <v>45</v>
      </c>
      <c r="H5" s="8">
        <v>348.33</v>
      </c>
      <c r="I5" s="9">
        <v>0.15</v>
      </c>
      <c r="J5" s="8">
        <v>13323.49</v>
      </c>
      <c r="K5" s="8">
        <v>8522.17</v>
      </c>
      <c r="L5" s="8">
        <v>4801.32</v>
      </c>
      <c r="M5" s="10">
        <f ca="1">NOW()</f>
        <v>46307.471562152779</v>
      </c>
    </row>
    <row r="6" spans="1:13">
      <c r="A6" s="6" t="s">
        <v>23</v>
      </c>
      <c r="B6" s="7">
        <v>45300</v>
      </c>
      <c r="C6" s="6" t="s">
        <v>15</v>
      </c>
      <c r="D6" s="6" t="s">
        <v>24</v>
      </c>
      <c r="E6" s="6" t="s">
        <v>25</v>
      </c>
      <c r="F6" s="6" t="s">
        <v>26</v>
      </c>
      <c r="G6" s="6">
        <v>1</v>
      </c>
      <c r="H6" s="8">
        <v>485.82</v>
      </c>
      <c r="I6" s="9">
        <v>0.05</v>
      </c>
      <c r="J6" s="8">
        <v>461.53</v>
      </c>
      <c r="K6" s="8">
        <v>308.2</v>
      </c>
      <c r="L6" s="8">
        <v>153.33000000000001</v>
      </c>
      <c r="M6" s="10">
        <f ca="1">NOW()</f>
        <v>46307.471562152779</v>
      </c>
    </row>
    <row r="7" spans="1:13">
      <c r="A7" s="6" t="s">
        <v>27</v>
      </c>
      <c r="B7" s="7">
        <v>45302</v>
      </c>
      <c r="C7" s="6" t="s">
        <v>15</v>
      </c>
      <c r="D7" s="6" t="s">
        <v>28</v>
      </c>
      <c r="E7" s="6" t="s">
        <v>25</v>
      </c>
      <c r="F7" s="6" t="s">
        <v>29</v>
      </c>
      <c r="G7" s="6">
        <v>49</v>
      </c>
      <c r="H7" s="8">
        <v>1087.45</v>
      </c>
      <c r="I7" s="9">
        <v>0.05</v>
      </c>
      <c r="J7" s="8">
        <v>50620.67</v>
      </c>
      <c r="K7" s="8">
        <v>29859.72</v>
      </c>
      <c r="L7" s="8">
        <v>20760.95</v>
      </c>
      <c r="M7" s="10">
        <f ca="1">NOW()</f>
        <v>46307.471562152779</v>
      </c>
    </row>
    <row r="8" spans="1:13">
      <c r="A8" s="6" t="s">
        <v>30</v>
      </c>
      <c r="B8" s="7">
        <v>45302</v>
      </c>
      <c r="C8" s="6" t="s">
        <v>15</v>
      </c>
      <c r="D8" s="6" t="s">
        <v>16</v>
      </c>
      <c r="E8" s="6" t="s">
        <v>17</v>
      </c>
      <c r="F8" s="6" t="s">
        <v>29</v>
      </c>
      <c r="G8" s="6">
        <v>6</v>
      </c>
      <c r="H8" s="8">
        <v>1134.94</v>
      </c>
      <c r="I8" s="9">
        <v>0.2</v>
      </c>
      <c r="J8" s="8">
        <v>5447.72</v>
      </c>
      <c r="K8" s="8">
        <v>3635.94</v>
      </c>
      <c r="L8" s="8">
        <v>1811.78</v>
      </c>
      <c r="M8" s="10">
        <f ca="1">NOW()</f>
        <v>46307.471562152779</v>
      </c>
    </row>
    <row r="9" spans="1:13">
      <c r="A9" s="6" t="s">
        <v>31</v>
      </c>
      <c r="B9" s="7">
        <v>45306</v>
      </c>
      <c r="C9" s="6" t="s">
        <v>15</v>
      </c>
      <c r="D9" s="6" t="s">
        <v>32</v>
      </c>
      <c r="E9" s="6" t="s">
        <v>17</v>
      </c>
      <c r="F9" s="6" t="s">
        <v>33</v>
      </c>
      <c r="G9" s="6">
        <v>42</v>
      </c>
      <c r="H9" s="8">
        <v>80.150000000000006</v>
      </c>
      <c r="I9" s="9">
        <v>0.2</v>
      </c>
      <c r="J9" s="8">
        <v>2693.06</v>
      </c>
      <c r="K9" s="8">
        <v>1659.54</v>
      </c>
      <c r="L9" s="8">
        <v>1033.51</v>
      </c>
      <c r="M9" s="10">
        <f ca="1">NOW()</f>
        <v>46307.471562152779</v>
      </c>
    </row>
    <row r="10" spans="1:13">
      <c r="A10" s="6" t="s">
        <v>34</v>
      </c>
      <c r="B10" s="7">
        <v>45308</v>
      </c>
      <c r="C10" s="6" t="s">
        <v>15</v>
      </c>
      <c r="D10" s="6" t="s">
        <v>35</v>
      </c>
      <c r="E10" s="6" t="s">
        <v>21</v>
      </c>
      <c r="F10" s="6" t="s">
        <v>22</v>
      </c>
      <c r="G10" s="6">
        <v>44</v>
      </c>
      <c r="H10" s="8">
        <v>337.7</v>
      </c>
      <c r="I10" s="9">
        <v>0</v>
      </c>
      <c r="J10" s="8">
        <v>14858.79</v>
      </c>
      <c r="K10" s="8">
        <v>8853.01</v>
      </c>
      <c r="L10" s="8">
        <v>6005.78</v>
      </c>
      <c r="M10" s="10">
        <f ca="1">NOW()</f>
        <v>46307.471562152779</v>
      </c>
    </row>
    <row r="11" spans="1:13">
      <c r="A11" s="6" t="s">
        <v>36</v>
      </c>
      <c r="B11" s="7">
        <v>45309</v>
      </c>
      <c r="C11" s="6" t="s">
        <v>15</v>
      </c>
      <c r="D11" s="6" t="s">
        <v>37</v>
      </c>
      <c r="E11" s="6" t="s">
        <v>38</v>
      </c>
      <c r="F11" s="6" t="s">
        <v>18</v>
      </c>
      <c r="G11" s="6">
        <v>41</v>
      </c>
      <c r="H11" s="8">
        <v>823.41</v>
      </c>
      <c r="I11" s="9">
        <v>0.1</v>
      </c>
      <c r="J11" s="8">
        <v>30383.99</v>
      </c>
      <c r="K11" s="8">
        <v>21503.42</v>
      </c>
      <c r="L11" s="8">
        <v>8880.57</v>
      </c>
      <c r="M11" s="10">
        <f ca="1">NOW()</f>
        <v>46307.471562152779</v>
      </c>
    </row>
    <row r="12" spans="1:13">
      <c r="A12" s="6" t="s">
        <v>39</v>
      </c>
      <c r="B12" s="7">
        <v>45310</v>
      </c>
      <c r="C12" s="6" t="s">
        <v>15</v>
      </c>
      <c r="D12" s="6" t="s">
        <v>37</v>
      </c>
      <c r="E12" s="6" t="s">
        <v>21</v>
      </c>
      <c r="F12" s="6" t="s">
        <v>40</v>
      </c>
      <c r="G12" s="6">
        <v>21</v>
      </c>
      <c r="H12" s="8">
        <v>41.01</v>
      </c>
      <c r="I12" s="9">
        <v>0.15</v>
      </c>
      <c r="J12" s="8">
        <v>732.11</v>
      </c>
      <c r="K12" s="8">
        <v>530.39</v>
      </c>
      <c r="L12" s="8">
        <v>201.71</v>
      </c>
      <c r="M12" s="10">
        <f ca="1">NOW()</f>
        <v>46307.471562152779</v>
      </c>
    </row>
    <row r="13" spans="1:13">
      <c r="A13" s="6" t="s">
        <v>41</v>
      </c>
      <c r="B13" s="7">
        <v>45313</v>
      </c>
      <c r="C13" s="6" t="s">
        <v>15</v>
      </c>
      <c r="D13" s="6" t="s">
        <v>42</v>
      </c>
      <c r="E13" s="6" t="s">
        <v>38</v>
      </c>
      <c r="F13" s="6" t="s">
        <v>29</v>
      </c>
      <c r="G13" s="6">
        <v>24</v>
      </c>
      <c r="H13" s="8">
        <v>1219.8</v>
      </c>
      <c r="I13" s="9">
        <v>0.05</v>
      </c>
      <c r="J13" s="8">
        <v>27811.49</v>
      </c>
      <c r="K13" s="8">
        <v>17686.919999999998</v>
      </c>
      <c r="L13" s="8">
        <v>10124.57</v>
      </c>
      <c r="M13" s="10">
        <f ca="1">NOW()</f>
        <v>46307.471562152779</v>
      </c>
    </row>
    <row r="14" spans="1:13">
      <c r="A14" s="6" t="s">
        <v>43</v>
      </c>
      <c r="B14" s="7">
        <v>45314</v>
      </c>
      <c r="C14" s="6" t="s">
        <v>15</v>
      </c>
      <c r="D14" s="6" t="s">
        <v>44</v>
      </c>
      <c r="E14" s="6" t="s">
        <v>38</v>
      </c>
      <c r="F14" s="6" t="s">
        <v>26</v>
      </c>
      <c r="G14" s="6">
        <v>45</v>
      </c>
      <c r="H14" s="8">
        <v>527.11</v>
      </c>
      <c r="I14" s="9">
        <v>0.05</v>
      </c>
      <c r="J14" s="8">
        <v>22533.94</v>
      </c>
      <c r="K14" s="8">
        <v>15643.89</v>
      </c>
      <c r="L14" s="8">
        <v>6890.06</v>
      </c>
      <c r="M14" s="10">
        <f ca="1">NOW()</f>
        <v>46307.471562152779</v>
      </c>
    </row>
    <row r="15" spans="1:13">
      <c r="A15" s="6" t="s">
        <v>45</v>
      </c>
      <c r="B15" s="7">
        <v>45315</v>
      </c>
      <c r="C15" s="6" t="s">
        <v>15</v>
      </c>
      <c r="D15" s="6" t="s">
        <v>46</v>
      </c>
      <c r="E15" s="6" t="s">
        <v>25</v>
      </c>
      <c r="F15" s="6" t="s">
        <v>18</v>
      </c>
      <c r="G15" s="6">
        <v>29</v>
      </c>
      <c r="H15" s="8">
        <v>746.62</v>
      </c>
      <c r="I15" s="9">
        <v>0.1</v>
      </c>
      <c r="J15" s="8">
        <v>19486.740000000002</v>
      </c>
      <c r="K15" s="8">
        <v>14238.66</v>
      </c>
      <c r="L15" s="8">
        <v>5248.07</v>
      </c>
      <c r="M15" s="10">
        <f ca="1">NOW()</f>
        <v>46307.471562152779</v>
      </c>
    </row>
    <row r="16" spans="1:13">
      <c r="A16" s="6" t="s">
        <v>47</v>
      </c>
      <c r="B16" s="7">
        <v>45318</v>
      </c>
      <c r="C16" s="6" t="s">
        <v>15</v>
      </c>
      <c r="D16" s="6" t="s">
        <v>48</v>
      </c>
      <c r="E16" s="6" t="s">
        <v>38</v>
      </c>
      <c r="F16" s="6" t="s">
        <v>33</v>
      </c>
      <c r="G16" s="6">
        <v>20</v>
      </c>
      <c r="H16" s="8">
        <v>83.55</v>
      </c>
      <c r="I16" s="9">
        <v>0.2</v>
      </c>
      <c r="J16" s="8">
        <v>1336.73</v>
      </c>
      <c r="K16" s="8">
        <v>894.6</v>
      </c>
      <c r="L16" s="8">
        <v>442.13</v>
      </c>
      <c r="M16" s="10">
        <f ca="1">NOW()</f>
        <v>46307.471562152779</v>
      </c>
    </row>
    <row r="17" spans="1:13">
      <c r="A17" s="6" t="s">
        <v>49</v>
      </c>
      <c r="B17" s="7">
        <v>45322</v>
      </c>
      <c r="C17" s="6" t="s">
        <v>15</v>
      </c>
      <c r="D17" s="6" t="s">
        <v>50</v>
      </c>
      <c r="E17" s="6" t="s">
        <v>38</v>
      </c>
      <c r="F17" s="6" t="s">
        <v>26</v>
      </c>
      <c r="G17" s="6">
        <v>27</v>
      </c>
      <c r="H17" s="8">
        <v>498.56</v>
      </c>
      <c r="I17" s="9">
        <v>0.05</v>
      </c>
      <c r="J17" s="8">
        <v>12788.17</v>
      </c>
      <c r="K17" s="8">
        <v>9244.9500000000007</v>
      </c>
      <c r="L17" s="8">
        <v>3543.22</v>
      </c>
      <c r="M17" s="10">
        <f ca="1">NOW()</f>
        <v>46307.471562152779</v>
      </c>
    </row>
    <row r="18" spans="1:13">
      <c r="A18" s="6" t="s">
        <v>51</v>
      </c>
      <c r="B18" s="7">
        <v>45322</v>
      </c>
      <c r="C18" s="6" t="s">
        <v>15</v>
      </c>
      <c r="D18" s="6" t="s">
        <v>52</v>
      </c>
      <c r="E18" s="6" t="s">
        <v>21</v>
      </c>
      <c r="F18" s="6" t="s">
        <v>22</v>
      </c>
      <c r="G18" s="6">
        <v>38</v>
      </c>
      <c r="H18" s="8">
        <v>330.42</v>
      </c>
      <c r="I18" s="9">
        <v>0</v>
      </c>
      <c r="J18" s="8">
        <v>12555.78</v>
      </c>
      <c r="K18" s="8">
        <v>8683.18</v>
      </c>
      <c r="L18" s="8">
        <v>3872.6</v>
      </c>
      <c r="M18" s="10">
        <f ca="1">NOW()</f>
        <v>46307.471562152779</v>
      </c>
    </row>
    <row r="19" spans="1:13">
      <c r="A19" s="6" t="s">
        <v>53</v>
      </c>
      <c r="B19" s="7">
        <v>45324</v>
      </c>
      <c r="C19" s="6" t="s">
        <v>54</v>
      </c>
      <c r="D19" s="6" t="s">
        <v>55</v>
      </c>
      <c r="E19" s="6" t="s">
        <v>38</v>
      </c>
      <c r="F19" s="6" t="s">
        <v>26</v>
      </c>
      <c r="G19" s="6">
        <v>15</v>
      </c>
      <c r="H19" s="8">
        <v>488.3</v>
      </c>
      <c r="I19" s="9">
        <v>0.05</v>
      </c>
      <c r="J19" s="8">
        <v>6958.33</v>
      </c>
      <c r="K19" s="8">
        <v>4810.18</v>
      </c>
      <c r="L19" s="8">
        <v>2148.15</v>
      </c>
      <c r="M19" s="10">
        <f ca="1">NOW()</f>
        <v>46307.471562152779</v>
      </c>
    </row>
    <row r="20" spans="1:13">
      <c r="A20" s="6" t="s">
        <v>56</v>
      </c>
      <c r="B20" s="7">
        <v>45324</v>
      </c>
      <c r="C20" s="6" t="s">
        <v>54</v>
      </c>
      <c r="D20" s="6" t="s">
        <v>57</v>
      </c>
      <c r="E20" s="6" t="s">
        <v>17</v>
      </c>
      <c r="F20" s="6" t="s">
        <v>29</v>
      </c>
      <c r="G20" s="6">
        <v>9</v>
      </c>
      <c r="H20" s="8">
        <v>1258.01</v>
      </c>
      <c r="I20" s="9">
        <v>0.2</v>
      </c>
      <c r="J20" s="8">
        <v>9057.69</v>
      </c>
      <c r="K20" s="8">
        <v>5187.6099999999997</v>
      </c>
      <c r="L20" s="8">
        <v>3870.08</v>
      </c>
      <c r="M20" s="10">
        <f ca="1">NOW()</f>
        <v>46307.471562152779</v>
      </c>
    </row>
    <row r="21" spans="1:13">
      <c r="A21" s="6" t="s">
        <v>58</v>
      </c>
      <c r="B21" s="7">
        <v>45326</v>
      </c>
      <c r="C21" s="6" t="s">
        <v>54</v>
      </c>
      <c r="D21" s="6" t="s">
        <v>59</v>
      </c>
      <c r="E21" s="6" t="s">
        <v>38</v>
      </c>
      <c r="F21" s="6" t="s">
        <v>29</v>
      </c>
      <c r="G21" s="6">
        <v>33</v>
      </c>
      <c r="H21" s="8">
        <v>1099.23</v>
      </c>
      <c r="I21" s="9">
        <v>0.05</v>
      </c>
      <c r="J21" s="8">
        <v>34460.76</v>
      </c>
      <c r="K21" s="8">
        <v>19425.68</v>
      </c>
      <c r="L21" s="8">
        <v>15035.08</v>
      </c>
      <c r="M21" s="10">
        <f ca="1">NOW()</f>
        <v>46307.471562152779</v>
      </c>
    </row>
    <row r="22" spans="1:13">
      <c r="A22" s="6" t="s">
        <v>60</v>
      </c>
      <c r="B22" s="7">
        <v>45327</v>
      </c>
      <c r="C22" s="6" t="s">
        <v>54</v>
      </c>
      <c r="D22" s="6" t="s">
        <v>61</v>
      </c>
      <c r="E22" s="6" t="s">
        <v>25</v>
      </c>
      <c r="F22" s="6" t="s">
        <v>22</v>
      </c>
      <c r="G22" s="6">
        <v>37</v>
      </c>
      <c r="H22" s="8">
        <v>381.29</v>
      </c>
      <c r="I22" s="9">
        <v>0</v>
      </c>
      <c r="J22" s="8">
        <v>14107.6</v>
      </c>
      <c r="K22" s="8">
        <v>9824.27</v>
      </c>
      <c r="L22" s="8">
        <v>4283.33</v>
      </c>
      <c r="M22" s="10">
        <f ca="1">NOW()</f>
        <v>46307.471562152779</v>
      </c>
    </row>
    <row r="23" spans="1:13">
      <c r="A23" s="6" t="s">
        <v>62</v>
      </c>
      <c r="B23" s="7">
        <v>45329</v>
      </c>
      <c r="C23" s="6" t="s">
        <v>54</v>
      </c>
      <c r="D23" s="6" t="s">
        <v>63</v>
      </c>
      <c r="E23" s="6" t="s">
        <v>17</v>
      </c>
      <c r="F23" s="6" t="s">
        <v>22</v>
      </c>
      <c r="G23" s="6">
        <v>17</v>
      </c>
      <c r="H23" s="8">
        <v>342.71</v>
      </c>
      <c r="I23" s="9">
        <v>0.1</v>
      </c>
      <c r="J23" s="8">
        <v>5243.39</v>
      </c>
      <c r="K23" s="8">
        <v>3363.34</v>
      </c>
      <c r="L23" s="8">
        <v>1880.04</v>
      </c>
      <c r="M23" s="10">
        <f ca="1">NOW()</f>
        <v>46307.471562152779</v>
      </c>
    </row>
    <row r="24" spans="1:13">
      <c r="A24" s="6" t="s">
        <v>64</v>
      </c>
      <c r="B24" s="7">
        <v>45329</v>
      </c>
      <c r="C24" s="6" t="s">
        <v>54</v>
      </c>
      <c r="D24" s="6" t="s">
        <v>57</v>
      </c>
      <c r="E24" s="6" t="s">
        <v>25</v>
      </c>
      <c r="F24" s="6" t="s">
        <v>65</v>
      </c>
      <c r="G24" s="6">
        <v>31</v>
      </c>
      <c r="H24" s="8">
        <v>138.41999999999999</v>
      </c>
      <c r="I24" s="9">
        <v>0</v>
      </c>
      <c r="J24" s="8">
        <v>4291.1000000000004</v>
      </c>
      <c r="K24" s="8">
        <v>2704</v>
      </c>
      <c r="L24" s="8">
        <v>1587.1</v>
      </c>
      <c r="M24" s="10">
        <f ca="1">NOW()</f>
        <v>46307.471562152779</v>
      </c>
    </row>
    <row r="25" spans="1:13">
      <c r="A25" s="6" t="s">
        <v>66</v>
      </c>
      <c r="B25" s="7">
        <v>45330</v>
      </c>
      <c r="C25" s="6" t="s">
        <v>54</v>
      </c>
      <c r="D25" s="6" t="s">
        <v>67</v>
      </c>
      <c r="E25" s="6" t="s">
        <v>38</v>
      </c>
      <c r="F25" s="6" t="s">
        <v>68</v>
      </c>
      <c r="G25" s="6">
        <v>36</v>
      </c>
      <c r="H25" s="8">
        <v>260.27999999999997</v>
      </c>
      <c r="I25" s="9">
        <v>0.2</v>
      </c>
      <c r="J25" s="8">
        <v>7496.16</v>
      </c>
      <c r="K25" s="8">
        <v>4137.3900000000003</v>
      </c>
      <c r="L25" s="8">
        <v>3358.78</v>
      </c>
      <c r="M25" s="10">
        <f ca="1">NOW()</f>
        <v>46307.471562152779</v>
      </c>
    </row>
    <row r="26" spans="1:13">
      <c r="A26" s="6" t="s">
        <v>69</v>
      </c>
      <c r="B26" s="7">
        <v>45333</v>
      </c>
      <c r="C26" s="6" t="s">
        <v>54</v>
      </c>
      <c r="D26" s="6" t="s">
        <v>70</v>
      </c>
      <c r="E26" s="6" t="s">
        <v>71</v>
      </c>
      <c r="F26" s="6" t="s">
        <v>18</v>
      </c>
      <c r="G26" s="6">
        <v>32</v>
      </c>
      <c r="H26" s="8">
        <v>833.98</v>
      </c>
      <c r="I26" s="9">
        <v>0.15</v>
      </c>
      <c r="J26" s="8">
        <v>22684.37</v>
      </c>
      <c r="K26" s="8">
        <v>12809.82</v>
      </c>
      <c r="L26" s="8">
        <v>9874.5499999999993</v>
      </c>
      <c r="M26" s="10">
        <f ca="1">NOW()</f>
        <v>46307.471562152779</v>
      </c>
    </row>
    <row r="27" spans="1:13">
      <c r="A27" s="6" t="s">
        <v>72</v>
      </c>
      <c r="B27" s="7">
        <v>45333</v>
      </c>
      <c r="C27" s="6" t="s">
        <v>54</v>
      </c>
      <c r="D27" s="6" t="s">
        <v>73</v>
      </c>
      <c r="E27" s="6" t="s">
        <v>21</v>
      </c>
      <c r="F27" s="6" t="s">
        <v>18</v>
      </c>
      <c r="G27" s="6">
        <v>49</v>
      </c>
      <c r="H27" s="8">
        <v>753.25</v>
      </c>
      <c r="I27" s="9">
        <v>0.05</v>
      </c>
      <c r="J27" s="8">
        <v>35063.599999999999</v>
      </c>
      <c r="K27" s="8">
        <v>21140.87</v>
      </c>
      <c r="L27" s="8">
        <v>13922.73</v>
      </c>
      <c r="M27" s="10">
        <f ca="1">NOW()</f>
        <v>46307.471562152779</v>
      </c>
    </row>
    <row r="28" spans="1:13">
      <c r="A28" s="6" t="s">
        <v>74</v>
      </c>
      <c r="B28" s="7">
        <v>45338</v>
      </c>
      <c r="C28" s="6" t="s">
        <v>54</v>
      </c>
      <c r="D28" s="6" t="s">
        <v>75</v>
      </c>
      <c r="E28" s="6" t="s">
        <v>25</v>
      </c>
      <c r="F28" s="6" t="s">
        <v>22</v>
      </c>
      <c r="G28" s="6">
        <v>41</v>
      </c>
      <c r="H28" s="8">
        <v>362.91</v>
      </c>
      <c r="I28" s="9">
        <v>0.1</v>
      </c>
      <c r="J28" s="8">
        <v>13391.3</v>
      </c>
      <c r="K28" s="8">
        <v>10036.58</v>
      </c>
      <c r="L28" s="8">
        <v>3354.72</v>
      </c>
      <c r="M28" s="10">
        <f ca="1">NOW()</f>
        <v>46307.471562152779</v>
      </c>
    </row>
    <row r="29" spans="1:13">
      <c r="A29" s="6" t="s">
        <v>76</v>
      </c>
      <c r="B29" s="7">
        <v>45338</v>
      </c>
      <c r="C29" s="6" t="s">
        <v>54</v>
      </c>
      <c r="D29" s="6" t="s">
        <v>77</v>
      </c>
      <c r="E29" s="6" t="s">
        <v>25</v>
      </c>
      <c r="F29" s="6" t="s">
        <v>29</v>
      </c>
      <c r="G29" s="6">
        <v>24</v>
      </c>
      <c r="H29" s="8">
        <v>1279.6099999999999</v>
      </c>
      <c r="I29" s="9">
        <v>0</v>
      </c>
      <c r="J29" s="8">
        <v>30710.57</v>
      </c>
      <c r="K29" s="8">
        <v>20850.43</v>
      </c>
      <c r="L29" s="8">
        <v>9860.14</v>
      </c>
      <c r="M29" s="10">
        <f ca="1">NOW()</f>
        <v>46307.471562152779</v>
      </c>
    </row>
    <row r="30" spans="1:13">
      <c r="A30" s="6" t="s">
        <v>78</v>
      </c>
      <c r="B30" s="7">
        <v>45339</v>
      </c>
      <c r="C30" s="6" t="s">
        <v>54</v>
      </c>
      <c r="D30" s="6" t="s">
        <v>61</v>
      </c>
      <c r="E30" s="6" t="s">
        <v>25</v>
      </c>
      <c r="F30" s="6" t="s">
        <v>68</v>
      </c>
      <c r="G30" s="6">
        <v>36</v>
      </c>
      <c r="H30" s="8">
        <v>229.9</v>
      </c>
      <c r="I30" s="9">
        <v>0.2</v>
      </c>
      <c r="J30" s="8">
        <v>6620.99</v>
      </c>
      <c r="K30" s="8">
        <v>4748.6099999999997</v>
      </c>
      <c r="L30" s="8">
        <v>1872.38</v>
      </c>
      <c r="M30" s="10">
        <f ca="1">NOW()</f>
        <v>46307.471562152779</v>
      </c>
    </row>
    <row r="31" spans="1:13">
      <c r="A31" s="6" t="s">
        <v>79</v>
      </c>
      <c r="B31" s="7">
        <v>45342</v>
      </c>
      <c r="C31" s="6" t="s">
        <v>54</v>
      </c>
      <c r="D31" s="6" t="s">
        <v>80</v>
      </c>
      <c r="E31" s="6" t="s">
        <v>17</v>
      </c>
      <c r="F31" s="6" t="s">
        <v>22</v>
      </c>
      <c r="G31" s="6">
        <v>29</v>
      </c>
      <c r="H31" s="8">
        <v>346.13</v>
      </c>
      <c r="I31" s="9">
        <v>0.05</v>
      </c>
      <c r="J31" s="8">
        <v>9535.85</v>
      </c>
      <c r="K31" s="8">
        <v>6876.2</v>
      </c>
      <c r="L31" s="8">
        <v>2659.64</v>
      </c>
      <c r="M31" s="10">
        <f ca="1">NOW()</f>
        <v>46307.471562152779</v>
      </c>
    </row>
    <row r="32" spans="1:13">
      <c r="A32" s="6" t="s">
        <v>81</v>
      </c>
      <c r="B32" s="7">
        <v>45343</v>
      </c>
      <c r="C32" s="6" t="s">
        <v>54</v>
      </c>
      <c r="D32" s="6" t="s">
        <v>82</v>
      </c>
      <c r="E32" s="6" t="s">
        <v>38</v>
      </c>
      <c r="F32" s="6" t="s">
        <v>68</v>
      </c>
      <c r="G32" s="6">
        <v>3</v>
      </c>
      <c r="H32" s="8">
        <v>231.31</v>
      </c>
      <c r="I32" s="9">
        <v>0.2</v>
      </c>
      <c r="J32" s="8">
        <v>555.15</v>
      </c>
      <c r="K32" s="8">
        <v>342.19</v>
      </c>
      <c r="L32" s="8">
        <v>212.96</v>
      </c>
      <c r="M32" s="10">
        <f ca="1">NOW()</f>
        <v>46307.471562152779</v>
      </c>
    </row>
    <row r="33" spans="1:13">
      <c r="A33" s="6" t="s">
        <v>83</v>
      </c>
      <c r="B33" s="7">
        <v>45343</v>
      </c>
      <c r="C33" s="6" t="s">
        <v>54</v>
      </c>
      <c r="D33" s="6" t="s">
        <v>48</v>
      </c>
      <c r="E33" s="6" t="s">
        <v>71</v>
      </c>
      <c r="F33" s="6" t="s">
        <v>22</v>
      </c>
      <c r="G33" s="6">
        <v>15</v>
      </c>
      <c r="H33" s="8">
        <v>385</v>
      </c>
      <c r="I33" s="9">
        <v>0.05</v>
      </c>
      <c r="J33" s="8">
        <v>5486.23</v>
      </c>
      <c r="K33" s="8">
        <v>3102.09</v>
      </c>
      <c r="L33" s="8">
        <v>2384.13</v>
      </c>
      <c r="M33" s="10">
        <f ca="1">NOW()</f>
        <v>46307.471562152779</v>
      </c>
    </row>
    <row r="34" spans="1:13">
      <c r="A34" s="6" t="s">
        <v>84</v>
      </c>
      <c r="B34" s="7">
        <v>45344</v>
      </c>
      <c r="C34" s="6" t="s">
        <v>54</v>
      </c>
      <c r="D34" s="6" t="s">
        <v>35</v>
      </c>
      <c r="E34" s="6" t="s">
        <v>25</v>
      </c>
      <c r="F34" s="6" t="s">
        <v>29</v>
      </c>
      <c r="G34" s="6">
        <v>48</v>
      </c>
      <c r="H34" s="8">
        <v>1146.01</v>
      </c>
      <c r="I34" s="9">
        <v>0.05</v>
      </c>
      <c r="J34" s="8">
        <v>52257.919999999998</v>
      </c>
      <c r="K34" s="8">
        <v>30200.25</v>
      </c>
      <c r="L34" s="8">
        <v>22057.67</v>
      </c>
      <c r="M34" s="10">
        <f ca="1">NOW()</f>
        <v>46307.471562152779</v>
      </c>
    </row>
    <row r="35" spans="1:13">
      <c r="A35" s="6" t="s">
        <v>85</v>
      </c>
      <c r="B35" s="7">
        <v>45345</v>
      </c>
      <c r="C35" s="6" t="s">
        <v>54</v>
      </c>
      <c r="D35" s="6" t="s">
        <v>82</v>
      </c>
      <c r="E35" s="6" t="s">
        <v>21</v>
      </c>
      <c r="F35" s="6" t="s">
        <v>29</v>
      </c>
      <c r="G35" s="6">
        <v>43</v>
      </c>
      <c r="H35" s="8">
        <v>1276.0999999999999</v>
      </c>
      <c r="I35" s="9">
        <v>0.1</v>
      </c>
      <c r="J35" s="8">
        <v>49385.26</v>
      </c>
      <c r="K35" s="8">
        <v>36364.9</v>
      </c>
      <c r="L35" s="8">
        <v>13020.36</v>
      </c>
      <c r="M35" s="10">
        <f ca="1">NOW()</f>
        <v>46307.471562152779</v>
      </c>
    </row>
    <row r="36" spans="1:13">
      <c r="A36" s="6" t="s">
        <v>86</v>
      </c>
      <c r="B36" s="7">
        <v>45346</v>
      </c>
      <c r="C36" s="6" t="s">
        <v>54</v>
      </c>
      <c r="D36" s="6" t="s">
        <v>87</v>
      </c>
      <c r="E36" s="6" t="s">
        <v>71</v>
      </c>
      <c r="F36" s="6" t="s">
        <v>40</v>
      </c>
      <c r="G36" s="6">
        <v>16</v>
      </c>
      <c r="H36" s="8">
        <v>37.18</v>
      </c>
      <c r="I36" s="9">
        <v>0</v>
      </c>
      <c r="J36" s="8">
        <v>594.89</v>
      </c>
      <c r="K36" s="8">
        <v>433.4</v>
      </c>
      <c r="L36" s="8">
        <v>161.49</v>
      </c>
      <c r="M36" s="10">
        <f ca="1">NOW()</f>
        <v>46307.471562152779</v>
      </c>
    </row>
    <row r="37" spans="1:13">
      <c r="A37" s="6" t="s">
        <v>88</v>
      </c>
      <c r="B37" s="7">
        <v>45346</v>
      </c>
      <c r="C37" s="6" t="s">
        <v>54</v>
      </c>
      <c r="D37" s="6" t="s">
        <v>52</v>
      </c>
      <c r="E37" s="6" t="s">
        <v>17</v>
      </c>
      <c r="F37" s="6" t="s">
        <v>26</v>
      </c>
      <c r="G37" s="6">
        <v>40</v>
      </c>
      <c r="H37" s="8">
        <v>496.01</v>
      </c>
      <c r="I37" s="9">
        <v>0.1</v>
      </c>
      <c r="J37" s="8">
        <v>17856.349999999999</v>
      </c>
      <c r="K37" s="8">
        <v>10135.73</v>
      </c>
      <c r="L37" s="8">
        <v>7720.62</v>
      </c>
      <c r="M37" s="10">
        <f ca="1">NOW()</f>
        <v>46307.471562152779</v>
      </c>
    </row>
    <row r="38" spans="1:13">
      <c r="A38" s="6" t="s">
        <v>89</v>
      </c>
      <c r="B38" s="7">
        <v>45347</v>
      </c>
      <c r="C38" s="6" t="s">
        <v>54</v>
      </c>
      <c r="D38" s="6" t="s">
        <v>90</v>
      </c>
      <c r="E38" s="6" t="s">
        <v>25</v>
      </c>
      <c r="F38" s="6" t="s">
        <v>18</v>
      </c>
      <c r="G38" s="6">
        <v>4</v>
      </c>
      <c r="H38" s="8">
        <v>784.42</v>
      </c>
      <c r="I38" s="9">
        <v>0.1</v>
      </c>
      <c r="J38" s="8">
        <v>2823.91</v>
      </c>
      <c r="K38" s="8">
        <v>2005.31</v>
      </c>
      <c r="L38" s="8">
        <v>818.6</v>
      </c>
      <c r="M38" s="10">
        <f ca="1">NOW()</f>
        <v>46307.471562152779</v>
      </c>
    </row>
    <row r="39" spans="1:13">
      <c r="A39" s="6" t="s">
        <v>91</v>
      </c>
      <c r="B39" s="7">
        <v>45350</v>
      </c>
      <c r="C39" s="6" t="s">
        <v>54</v>
      </c>
      <c r="D39" s="6" t="s">
        <v>92</v>
      </c>
      <c r="E39" s="6" t="s">
        <v>17</v>
      </c>
      <c r="F39" s="6" t="s">
        <v>29</v>
      </c>
      <c r="G39" s="6">
        <v>36</v>
      </c>
      <c r="H39" s="8">
        <v>1177.92</v>
      </c>
      <c r="I39" s="9">
        <v>0.05</v>
      </c>
      <c r="J39" s="8">
        <v>40284.79</v>
      </c>
      <c r="K39" s="8">
        <v>30151.21</v>
      </c>
      <c r="L39" s="8">
        <v>10133.58</v>
      </c>
      <c r="M39" s="10">
        <f ca="1">NOW()</f>
        <v>46307.471562152779</v>
      </c>
    </row>
    <row r="40" spans="1:13">
      <c r="A40" s="6" t="s">
        <v>93</v>
      </c>
      <c r="B40" s="7">
        <v>45354</v>
      </c>
      <c r="C40" s="6" t="s">
        <v>94</v>
      </c>
      <c r="D40" s="6" t="s">
        <v>95</v>
      </c>
      <c r="E40" s="6" t="s">
        <v>21</v>
      </c>
      <c r="F40" s="6" t="s">
        <v>29</v>
      </c>
      <c r="G40" s="6">
        <v>38</v>
      </c>
      <c r="H40" s="8">
        <v>1309.5899999999999</v>
      </c>
      <c r="I40" s="9">
        <v>0.2</v>
      </c>
      <c r="J40" s="8">
        <v>39811.53</v>
      </c>
      <c r="K40" s="8">
        <v>24521.09</v>
      </c>
      <c r="L40" s="8">
        <v>15290.45</v>
      </c>
      <c r="M40" s="10">
        <f ca="1">NOW()</f>
        <v>46307.471562152779</v>
      </c>
    </row>
    <row r="41" spans="1:13">
      <c r="A41" s="6" t="s">
        <v>96</v>
      </c>
      <c r="B41" s="7">
        <v>45355</v>
      </c>
      <c r="C41" s="6" t="s">
        <v>94</v>
      </c>
      <c r="D41" s="6" t="s">
        <v>37</v>
      </c>
      <c r="E41" s="6" t="s">
        <v>71</v>
      </c>
      <c r="F41" s="6" t="s">
        <v>33</v>
      </c>
      <c r="G41" s="6">
        <v>6</v>
      </c>
      <c r="H41" s="8">
        <v>84.65</v>
      </c>
      <c r="I41" s="9">
        <v>0</v>
      </c>
      <c r="J41" s="8">
        <v>507.91</v>
      </c>
      <c r="K41" s="8">
        <v>306.20999999999998</v>
      </c>
      <c r="L41" s="8">
        <v>201.69</v>
      </c>
      <c r="M41" s="10">
        <f ca="1">NOW()</f>
        <v>46307.471562152779</v>
      </c>
    </row>
    <row r="42" spans="1:13">
      <c r="A42" s="6" t="s">
        <v>97</v>
      </c>
      <c r="B42" s="7">
        <v>45362</v>
      </c>
      <c r="C42" s="6" t="s">
        <v>94</v>
      </c>
      <c r="D42" s="6" t="s">
        <v>98</v>
      </c>
      <c r="E42" s="6" t="s">
        <v>17</v>
      </c>
      <c r="F42" s="6" t="s">
        <v>40</v>
      </c>
      <c r="G42" s="6">
        <v>38</v>
      </c>
      <c r="H42" s="8">
        <v>39.200000000000003</v>
      </c>
      <c r="I42" s="9">
        <v>0.05</v>
      </c>
      <c r="J42" s="8">
        <v>1414.95</v>
      </c>
      <c r="K42" s="8">
        <v>1060.45</v>
      </c>
      <c r="L42" s="8">
        <v>354.49</v>
      </c>
      <c r="M42" s="10">
        <f ca="1">NOW()</f>
        <v>46307.471562152779</v>
      </c>
    </row>
    <row r="43" spans="1:13">
      <c r="A43" s="6" t="s">
        <v>99</v>
      </c>
      <c r="B43" s="7">
        <v>45367</v>
      </c>
      <c r="C43" s="6" t="s">
        <v>94</v>
      </c>
      <c r="D43" s="6" t="s">
        <v>63</v>
      </c>
      <c r="E43" s="6" t="s">
        <v>25</v>
      </c>
      <c r="F43" s="6" t="s">
        <v>22</v>
      </c>
      <c r="G43" s="6">
        <v>38</v>
      </c>
      <c r="H43" s="8">
        <v>330.12</v>
      </c>
      <c r="I43" s="9">
        <v>0.05</v>
      </c>
      <c r="J43" s="8">
        <v>11917.21</v>
      </c>
      <c r="K43" s="8">
        <v>7337.57</v>
      </c>
      <c r="L43" s="8">
        <v>4579.6400000000003</v>
      </c>
      <c r="M43" s="10">
        <f ca="1">NOW()</f>
        <v>46307.471562152779</v>
      </c>
    </row>
    <row r="44" spans="1:13">
      <c r="A44" s="6" t="s">
        <v>100</v>
      </c>
      <c r="B44" s="7">
        <v>45370</v>
      </c>
      <c r="C44" s="6" t="s">
        <v>94</v>
      </c>
      <c r="D44" s="6" t="s">
        <v>70</v>
      </c>
      <c r="E44" s="6" t="s">
        <v>71</v>
      </c>
      <c r="F44" s="6" t="s">
        <v>18</v>
      </c>
      <c r="G44" s="6">
        <v>21</v>
      </c>
      <c r="H44" s="8">
        <v>788.28</v>
      </c>
      <c r="I44" s="9">
        <v>0.1</v>
      </c>
      <c r="J44" s="8">
        <v>14898.53</v>
      </c>
      <c r="K44" s="8">
        <v>9309.5</v>
      </c>
      <c r="L44" s="8">
        <v>5589.03</v>
      </c>
      <c r="M44" s="10">
        <f ca="1">NOW()</f>
        <v>46307.471562152779</v>
      </c>
    </row>
    <row r="45" spans="1:13">
      <c r="A45" s="6" t="s">
        <v>101</v>
      </c>
      <c r="B45" s="7">
        <v>45370</v>
      </c>
      <c r="C45" s="6" t="s">
        <v>94</v>
      </c>
      <c r="D45" s="6" t="s">
        <v>102</v>
      </c>
      <c r="E45" s="6" t="s">
        <v>38</v>
      </c>
      <c r="F45" s="6" t="s">
        <v>22</v>
      </c>
      <c r="G45" s="6">
        <v>7</v>
      </c>
      <c r="H45" s="8">
        <v>325.25</v>
      </c>
      <c r="I45" s="9">
        <v>0.05</v>
      </c>
      <c r="J45" s="8">
        <v>2162.92</v>
      </c>
      <c r="K45" s="8">
        <v>1264.6600000000001</v>
      </c>
      <c r="L45" s="8">
        <v>898.26</v>
      </c>
      <c r="M45" s="10">
        <f ca="1">NOW()</f>
        <v>46307.471562152779</v>
      </c>
    </row>
    <row r="46" spans="1:13">
      <c r="A46" s="6" t="s">
        <v>103</v>
      </c>
      <c r="B46" s="7">
        <v>45371</v>
      </c>
      <c r="C46" s="6" t="s">
        <v>94</v>
      </c>
      <c r="D46" s="6" t="s">
        <v>104</v>
      </c>
      <c r="E46" s="6" t="s">
        <v>17</v>
      </c>
      <c r="F46" s="6" t="s">
        <v>29</v>
      </c>
      <c r="G46" s="6">
        <v>49</v>
      </c>
      <c r="H46" s="8">
        <v>1273.4000000000001</v>
      </c>
      <c r="I46" s="9">
        <v>0.15</v>
      </c>
      <c r="J46" s="8">
        <v>53036.97</v>
      </c>
      <c r="K46" s="8">
        <v>32779.5</v>
      </c>
      <c r="L46" s="8">
        <v>20257.46</v>
      </c>
      <c r="M46" s="10">
        <f ca="1">NOW()</f>
        <v>46307.471562152779</v>
      </c>
    </row>
    <row r="47" spans="1:13">
      <c r="A47" s="6" t="s">
        <v>105</v>
      </c>
      <c r="B47" s="7">
        <v>45371</v>
      </c>
      <c r="C47" s="6" t="s">
        <v>94</v>
      </c>
      <c r="D47" s="6" t="s">
        <v>77</v>
      </c>
      <c r="E47" s="6" t="s">
        <v>25</v>
      </c>
      <c r="F47" s="6" t="s">
        <v>68</v>
      </c>
      <c r="G47" s="6">
        <v>1</v>
      </c>
      <c r="H47" s="8">
        <v>261.12</v>
      </c>
      <c r="I47" s="9">
        <v>0.15</v>
      </c>
      <c r="J47" s="8">
        <v>221.95</v>
      </c>
      <c r="K47" s="8">
        <v>160.74</v>
      </c>
      <c r="L47" s="8">
        <v>61.22</v>
      </c>
      <c r="M47" s="10">
        <f ca="1">NOW()</f>
        <v>46307.471562152779</v>
      </c>
    </row>
    <row r="48" spans="1:13">
      <c r="A48" s="6" t="s">
        <v>106</v>
      </c>
      <c r="B48" s="7">
        <v>45372</v>
      </c>
      <c r="C48" s="6" t="s">
        <v>94</v>
      </c>
      <c r="D48" s="6" t="s">
        <v>107</v>
      </c>
      <c r="E48" s="6" t="s">
        <v>25</v>
      </c>
      <c r="F48" s="6" t="s">
        <v>65</v>
      </c>
      <c r="G48" s="6">
        <v>50</v>
      </c>
      <c r="H48" s="8">
        <v>154.22999999999999</v>
      </c>
      <c r="I48" s="9">
        <v>0</v>
      </c>
      <c r="J48" s="8">
        <v>7711.44</v>
      </c>
      <c r="K48" s="8">
        <v>4693.96</v>
      </c>
      <c r="L48" s="8">
        <v>3017.49</v>
      </c>
      <c r="M48" s="10">
        <f ca="1">NOW()</f>
        <v>46307.471562152779</v>
      </c>
    </row>
    <row r="49" spans="1:13">
      <c r="A49" s="6" t="s">
        <v>108</v>
      </c>
      <c r="B49" s="7">
        <v>45373</v>
      </c>
      <c r="C49" s="6" t="s">
        <v>94</v>
      </c>
      <c r="D49" s="6" t="s">
        <v>109</v>
      </c>
      <c r="E49" s="6" t="s">
        <v>71</v>
      </c>
      <c r="F49" s="6" t="s">
        <v>18</v>
      </c>
      <c r="G49" s="6">
        <v>49</v>
      </c>
      <c r="H49" s="8">
        <v>727.54</v>
      </c>
      <c r="I49" s="9">
        <v>0</v>
      </c>
      <c r="J49" s="8">
        <v>35649.39</v>
      </c>
      <c r="K49" s="8">
        <v>20696.91</v>
      </c>
      <c r="L49" s="8">
        <v>14952.49</v>
      </c>
      <c r="M49" s="10">
        <f ca="1">NOW()</f>
        <v>46307.471562152779</v>
      </c>
    </row>
    <row r="50" spans="1:13">
      <c r="A50" s="6" t="s">
        <v>110</v>
      </c>
      <c r="B50" s="7">
        <v>45375</v>
      </c>
      <c r="C50" s="6" t="s">
        <v>94</v>
      </c>
      <c r="D50" s="6" t="s">
        <v>90</v>
      </c>
      <c r="E50" s="6" t="s">
        <v>17</v>
      </c>
      <c r="F50" s="6" t="s">
        <v>33</v>
      </c>
      <c r="G50" s="6">
        <v>11</v>
      </c>
      <c r="H50" s="8">
        <v>81.69</v>
      </c>
      <c r="I50" s="9">
        <v>0</v>
      </c>
      <c r="J50" s="8">
        <v>898.64</v>
      </c>
      <c r="K50" s="8">
        <v>634.04</v>
      </c>
      <c r="L50" s="8">
        <v>264.60000000000002</v>
      </c>
      <c r="M50" s="10">
        <f ca="1">NOW()</f>
        <v>46307.471562152779</v>
      </c>
    </row>
    <row r="51" spans="1:13">
      <c r="A51" s="6" t="s">
        <v>111</v>
      </c>
      <c r="B51" s="7">
        <v>45378</v>
      </c>
      <c r="C51" s="6" t="s">
        <v>94</v>
      </c>
      <c r="D51" s="6" t="s">
        <v>82</v>
      </c>
      <c r="E51" s="6" t="s">
        <v>17</v>
      </c>
      <c r="F51" s="6" t="s">
        <v>68</v>
      </c>
      <c r="G51" s="6">
        <v>29</v>
      </c>
      <c r="H51" s="8">
        <v>247.11</v>
      </c>
      <c r="I51" s="9">
        <v>0.05</v>
      </c>
      <c r="J51" s="8">
        <v>6807.83</v>
      </c>
      <c r="K51" s="8">
        <v>4440.3</v>
      </c>
      <c r="L51" s="8">
        <v>2367.52</v>
      </c>
      <c r="M51" s="10">
        <f ca="1">NOW()</f>
        <v>46307.471562152779</v>
      </c>
    </row>
    <row r="52" spans="1:13">
      <c r="A52" s="6" t="s">
        <v>112</v>
      </c>
      <c r="B52" s="7">
        <v>45381</v>
      </c>
      <c r="C52" s="6" t="s">
        <v>94</v>
      </c>
      <c r="D52" s="6" t="s">
        <v>16</v>
      </c>
      <c r="E52" s="6" t="s">
        <v>25</v>
      </c>
      <c r="F52" s="6" t="s">
        <v>65</v>
      </c>
      <c r="G52" s="6">
        <v>10</v>
      </c>
      <c r="H52" s="8">
        <v>164.63</v>
      </c>
      <c r="I52" s="9">
        <v>0.2</v>
      </c>
      <c r="J52" s="8">
        <v>1317.01</v>
      </c>
      <c r="K52" s="8">
        <v>790.38</v>
      </c>
      <c r="L52" s="8">
        <v>526.63</v>
      </c>
      <c r="M52" s="10">
        <f ca="1">NOW()</f>
        <v>46307.471562152779</v>
      </c>
    </row>
    <row r="53" spans="1:13">
      <c r="A53" s="6" t="s">
        <v>113</v>
      </c>
      <c r="B53" s="7">
        <v>45381</v>
      </c>
      <c r="C53" s="6" t="s">
        <v>94</v>
      </c>
      <c r="D53" s="6" t="s">
        <v>104</v>
      </c>
      <c r="E53" s="6" t="s">
        <v>17</v>
      </c>
      <c r="F53" s="6" t="s">
        <v>26</v>
      </c>
      <c r="G53" s="6">
        <v>6</v>
      </c>
      <c r="H53" s="8">
        <v>540.96</v>
      </c>
      <c r="I53" s="9">
        <v>0.1</v>
      </c>
      <c r="J53" s="8">
        <v>2921.2</v>
      </c>
      <c r="K53" s="8">
        <v>2043.37</v>
      </c>
      <c r="L53" s="8">
        <v>877.83</v>
      </c>
      <c r="M53" s="10">
        <f ca="1">NOW()</f>
        <v>46307.471562152779</v>
      </c>
    </row>
    <row r="54" spans="1:13">
      <c r="A54" s="6" t="s">
        <v>114</v>
      </c>
      <c r="B54" s="7">
        <v>45382</v>
      </c>
      <c r="C54" s="6" t="s">
        <v>94</v>
      </c>
      <c r="D54" s="6" t="s">
        <v>115</v>
      </c>
      <c r="E54" s="6" t="s">
        <v>21</v>
      </c>
      <c r="F54" s="6" t="s">
        <v>40</v>
      </c>
      <c r="G54" s="6">
        <v>40</v>
      </c>
      <c r="H54" s="8">
        <v>42</v>
      </c>
      <c r="I54" s="9">
        <v>0.05</v>
      </c>
      <c r="J54" s="8">
        <v>1595.84</v>
      </c>
      <c r="K54" s="8">
        <v>1153.67</v>
      </c>
      <c r="L54" s="8">
        <v>442.17</v>
      </c>
      <c r="M54" s="10">
        <f ca="1">NOW()</f>
        <v>46307.471562152779</v>
      </c>
    </row>
    <row r="55" spans="1:13">
      <c r="A55" s="6" t="s">
        <v>116</v>
      </c>
      <c r="B55" s="7">
        <v>45385</v>
      </c>
      <c r="C55" s="6" t="s">
        <v>117</v>
      </c>
      <c r="D55" s="6" t="s">
        <v>104</v>
      </c>
      <c r="E55" s="6" t="s">
        <v>21</v>
      </c>
      <c r="F55" s="6" t="s">
        <v>29</v>
      </c>
      <c r="G55" s="6">
        <v>6</v>
      </c>
      <c r="H55" s="8">
        <v>1234.26</v>
      </c>
      <c r="I55" s="9">
        <v>0.05</v>
      </c>
      <c r="J55" s="8">
        <v>7035.28</v>
      </c>
      <c r="K55" s="8">
        <v>5089.1099999999997</v>
      </c>
      <c r="L55" s="8">
        <v>1946.17</v>
      </c>
      <c r="M55" s="10">
        <f ca="1">NOW()</f>
        <v>46307.471562152779</v>
      </c>
    </row>
    <row r="56" spans="1:13">
      <c r="A56" s="6" t="s">
        <v>118</v>
      </c>
      <c r="B56" s="7">
        <v>45393</v>
      </c>
      <c r="C56" s="6" t="s">
        <v>117</v>
      </c>
      <c r="D56" s="6" t="s">
        <v>119</v>
      </c>
      <c r="E56" s="6" t="s">
        <v>25</v>
      </c>
      <c r="F56" s="6" t="s">
        <v>29</v>
      </c>
      <c r="G56" s="6">
        <v>20</v>
      </c>
      <c r="H56" s="8">
        <v>1218.19</v>
      </c>
      <c r="I56" s="9">
        <v>0.15</v>
      </c>
      <c r="J56" s="8">
        <v>20709.25</v>
      </c>
      <c r="K56" s="8">
        <v>13032.97</v>
      </c>
      <c r="L56" s="8">
        <v>7676.28</v>
      </c>
      <c r="M56" s="10">
        <f ca="1">NOW()</f>
        <v>46307.471562152779</v>
      </c>
    </row>
    <row r="57" spans="1:13">
      <c r="A57" s="6" t="s">
        <v>120</v>
      </c>
      <c r="B57" s="7">
        <v>45401</v>
      </c>
      <c r="C57" s="6" t="s">
        <v>117</v>
      </c>
      <c r="D57" s="6" t="s">
        <v>59</v>
      </c>
      <c r="E57" s="6" t="s">
        <v>25</v>
      </c>
      <c r="F57" s="6" t="s">
        <v>40</v>
      </c>
      <c r="G57" s="6">
        <v>33</v>
      </c>
      <c r="H57" s="8">
        <v>38.89</v>
      </c>
      <c r="I57" s="9">
        <v>0.1</v>
      </c>
      <c r="J57" s="8">
        <v>1155.17</v>
      </c>
      <c r="K57" s="8">
        <v>706.7</v>
      </c>
      <c r="L57" s="8">
        <v>448.47</v>
      </c>
      <c r="M57" s="10">
        <f ca="1">NOW()</f>
        <v>46307.471562152779</v>
      </c>
    </row>
    <row r="58" spans="1:13">
      <c r="A58" s="6" t="s">
        <v>121</v>
      </c>
      <c r="B58" s="7">
        <v>45403</v>
      </c>
      <c r="C58" s="6" t="s">
        <v>117</v>
      </c>
      <c r="D58" s="6" t="s">
        <v>75</v>
      </c>
      <c r="E58" s="6" t="s">
        <v>38</v>
      </c>
      <c r="F58" s="6" t="s">
        <v>22</v>
      </c>
      <c r="G58" s="6">
        <v>9</v>
      </c>
      <c r="H58" s="8">
        <v>348.15</v>
      </c>
      <c r="I58" s="9">
        <v>0</v>
      </c>
      <c r="J58" s="8">
        <v>3133.34</v>
      </c>
      <c r="K58" s="8">
        <v>2076.7600000000002</v>
      </c>
      <c r="L58" s="8">
        <v>1056.58</v>
      </c>
      <c r="M58" s="10">
        <f ca="1">NOW()</f>
        <v>46307.471562152779</v>
      </c>
    </row>
    <row r="59" spans="1:13">
      <c r="A59" s="6" t="s">
        <v>122</v>
      </c>
      <c r="B59" s="7">
        <v>45404</v>
      </c>
      <c r="C59" s="6" t="s">
        <v>117</v>
      </c>
      <c r="D59" s="6" t="s">
        <v>119</v>
      </c>
      <c r="E59" s="6" t="s">
        <v>71</v>
      </c>
      <c r="F59" s="6" t="s">
        <v>40</v>
      </c>
      <c r="G59" s="6">
        <v>35</v>
      </c>
      <c r="H59" s="8">
        <v>41.98</v>
      </c>
      <c r="I59" s="9">
        <v>0.2</v>
      </c>
      <c r="J59" s="8">
        <v>1175.44</v>
      </c>
      <c r="K59" s="8">
        <v>834.53</v>
      </c>
      <c r="L59" s="8">
        <v>340.91</v>
      </c>
      <c r="M59" s="10">
        <f ca="1">NOW()</f>
        <v>46307.471562152779</v>
      </c>
    </row>
    <row r="60" spans="1:13">
      <c r="A60" s="6" t="s">
        <v>123</v>
      </c>
      <c r="B60" s="7">
        <v>45405</v>
      </c>
      <c r="C60" s="6" t="s">
        <v>117</v>
      </c>
      <c r="D60" s="6" t="s">
        <v>61</v>
      </c>
      <c r="E60" s="6" t="s">
        <v>71</v>
      </c>
      <c r="F60" s="6" t="s">
        <v>40</v>
      </c>
      <c r="G60" s="6">
        <v>34</v>
      </c>
      <c r="H60" s="8">
        <v>36.630000000000003</v>
      </c>
      <c r="I60" s="9">
        <v>0.1</v>
      </c>
      <c r="J60" s="8">
        <v>1120.8499999999999</v>
      </c>
      <c r="K60" s="8">
        <v>783.66</v>
      </c>
      <c r="L60" s="8">
        <v>337.2</v>
      </c>
      <c r="M60" s="10">
        <f ca="1">NOW()</f>
        <v>46307.471562152779</v>
      </c>
    </row>
    <row r="61" spans="1:13">
      <c r="A61" s="6" t="s">
        <v>124</v>
      </c>
      <c r="B61" s="7">
        <v>45407</v>
      </c>
      <c r="C61" s="6" t="s">
        <v>117</v>
      </c>
      <c r="D61" s="6" t="s">
        <v>125</v>
      </c>
      <c r="E61" s="6" t="s">
        <v>17</v>
      </c>
      <c r="F61" s="6" t="s">
        <v>33</v>
      </c>
      <c r="G61" s="6">
        <v>8</v>
      </c>
      <c r="H61" s="8">
        <v>79.489999999999995</v>
      </c>
      <c r="I61" s="9">
        <v>0</v>
      </c>
      <c r="J61" s="8">
        <v>635.95000000000005</v>
      </c>
      <c r="K61" s="8">
        <v>367.67</v>
      </c>
      <c r="L61" s="8">
        <v>268.27</v>
      </c>
      <c r="M61" s="10">
        <f ca="1">NOW()</f>
        <v>46307.471562152779</v>
      </c>
    </row>
    <row r="62" spans="1:13">
      <c r="A62" s="6" t="s">
        <v>126</v>
      </c>
      <c r="B62" s="7">
        <v>45408</v>
      </c>
      <c r="C62" s="6" t="s">
        <v>117</v>
      </c>
      <c r="D62" s="6" t="s">
        <v>35</v>
      </c>
      <c r="E62" s="6" t="s">
        <v>21</v>
      </c>
      <c r="F62" s="6" t="s">
        <v>33</v>
      </c>
      <c r="G62" s="6">
        <v>37</v>
      </c>
      <c r="H62" s="8">
        <v>75.08</v>
      </c>
      <c r="I62" s="9">
        <v>0</v>
      </c>
      <c r="J62" s="8">
        <v>2777.83</v>
      </c>
      <c r="K62" s="8">
        <v>1553.27</v>
      </c>
      <c r="L62" s="8">
        <v>1224.57</v>
      </c>
      <c r="M62" s="10">
        <f ca="1">NOW()</f>
        <v>46307.471562152779</v>
      </c>
    </row>
    <row r="63" spans="1:13">
      <c r="A63" s="6" t="s">
        <v>127</v>
      </c>
      <c r="B63" s="7">
        <v>45411</v>
      </c>
      <c r="C63" s="6" t="s">
        <v>117</v>
      </c>
      <c r="D63" s="6" t="s">
        <v>37</v>
      </c>
      <c r="E63" s="6" t="s">
        <v>21</v>
      </c>
      <c r="F63" s="6" t="s">
        <v>18</v>
      </c>
      <c r="G63" s="6">
        <v>38</v>
      </c>
      <c r="H63" s="8">
        <v>787.51</v>
      </c>
      <c r="I63" s="9">
        <v>0</v>
      </c>
      <c r="J63" s="8">
        <v>29925.279999999999</v>
      </c>
      <c r="K63" s="8">
        <v>17019.68</v>
      </c>
      <c r="L63" s="8">
        <v>12905.61</v>
      </c>
      <c r="M63" s="10">
        <f ca="1">NOW()</f>
        <v>46307.471562152779</v>
      </c>
    </row>
    <row r="64" spans="1:13">
      <c r="A64" s="6" t="s">
        <v>128</v>
      </c>
      <c r="B64" s="7">
        <v>45411</v>
      </c>
      <c r="C64" s="6" t="s">
        <v>117</v>
      </c>
      <c r="D64" s="6" t="s">
        <v>90</v>
      </c>
      <c r="E64" s="6" t="s">
        <v>17</v>
      </c>
      <c r="F64" s="6" t="s">
        <v>65</v>
      </c>
      <c r="G64" s="6">
        <v>38</v>
      </c>
      <c r="H64" s="8">
        <v>146.43</v>
      </c>
      <c r="I64" s="9">
        <v>0.1</v>
      </c>
      <c r="J64" s="8">
        <v>5007.93</v>
      </c>
      <c r="K64" s="8">
        <v>2862.88</v>
      </c>
      <c r="L64" s="8">
        <v>2145.0500000000002</v>
      </c>
      <c r="M64" s="10">
        <f ca="1">NOW()</f>
        <v>46307.471562152779</v>
      </c>
    </row>
    <row r="65" spans="1:13">
      <c r="A65" s="6" t="s">
        <v>129</v>
      </c>
      <c r="B65" s="7">
        <v>45411</v>
      </c>
      <c r="C65" s="6" t="s">
        <v>117</v>
      </c>
      <c r="D65" s="6" t="s">
        <v>87</v>
      </c>
      <c r="E65" s="6" t="s">
        <v>71</v>
      </c>
      <c r="F65" s="6" t="s">
        <v>33</v>
      </c>
      <c r="G65" s="6">
        <v>13</v>
      </c>
      <c r="H65" s="8">
        <v>87.69</v>
      </c>
      <c r="I65" s="9">
        <v>0.05</v>
      </c>
      <c r="J65" s="8">
        <v>1083</v>
      </c>
      <c r="K65" s="8">
        <v>719.5</v>
      </c>
      <c r="L65" s="8">
        <v>363.5</v>
      </c>
      <c r="M65" s="10">
        <f ca="1">NOW()</f>
        <v>46307.471562152779</v>
      </c>
    </row>
    <row r="66" spans="1:13">
      <c r="A66" s="6" t="s">
        <v>130</v>
      </c>
      <c r="B66" s="7">
        <v>45412</v>
      </c>
      <c r="C66" s="6" t="s">
        <v>117</v>
      </c>
      <c r="D66" s="6" t="s">
        <v>131</v>
      </c>
      <c r="E66" s="6" t="s">
        <v>25</v>
      </c>
      <c r="F66" s="6" t="s">
        <v>65</v>
      </c>
      <c r="G66" s="6">
        <v>33</v>
      </c>
      <c r="H66" s="8">
        <v>154.91999999999999</v>
      </c>
      <c r="I66" s="9">
        <v>0.2</v>
      </c>
      <c r="J66" s="8">
        <v>4089.77</v>
      </c>
      <c r="K66" s="8">
        <v>2523.54</v>
      </c>
      <c r="L66" s="8">
        <v>1566.23</v>
      </c>
      <c r="M66" s="10">
        <f ca="1">NOW()</f>
        <v>46307.471562152779</v>
      </c>
    </row>
    <row r="67" spans="1:13">
      <c r="A67" s="6" t="s">
        <v>132</v>
      </c>
      <c r="B67" s="7">
        <v>45414</v>
      </c>
      <c r="C67" s="6" t="s">
        <v>133</v>
      </c>
      <c r="D67" s="6" t="s">
        <v>77</v>
      </c>
      <c r="E67" s="6" t="s">
        <v>17</v>
      </c>
      <c r="F67" s="6" t="s">
        <v>22</v>
      </c>
      <c r="G67" s="6">
        <v>41</v>
      </c>
      <c r="H67" s="8">
        <v>334.41</v>
      </c>
      <c r="I67" s="9">
        <v>0.2</v>
      </c>
      <c r="J67" s="8">
        <v>10968.71</v>
      </c>
      <c r="K67" s="8">
        <v>7095.87</v>
      </c>
      <c r="L67" s="8">
        <v>3872.84</v>
      </c>
      <c r="M67" s="10">
        <f ca="1">NOW()</f>
        <v>46307.471562152779</v>
      </c>
    </row>
    <row r="68" spans="1:13">
      <c r="A68" s="6" t="s">
        <v>134</v>
      </c>
      <c r="B68" s="7">
        <v>45415</v>
      </c>
      <c r="C68" s="6" t="s">
        <v>133</v>
      </c>
      <c r="D68" s="6" t="s">
        <v>135</v>
      </c>
      <c r="E68" s="6" t="s">
        <v>38</v>
      </c>
      <c r="F68" s="6" t="s">
        <v>26</v>
      </c>
      <c r="G68" s="6">
        <v>12</v>
      </c>
      <c r="H68" s="8">
        <v>457.9</v>
      </c>
      <c r="I68" s="9">
        <v>0.15</v>
      </c>
      <c r="J68" s="8">
        <v>4670.55</v>
      </c>
      <c r="K68" s="8">
        <v>3147.68</v>
      </c>
      <c r="L68" s="8">
        <v>1522.87</v>
      </c>
      <c r="M68" s="10">
        <f ca="1">NOW()</f>
        <v>46307.471562152779</v>
      </c>
    </row>
    <row r="69" spans="1:13">
      <c r="A69" s="6" t="s">
        <v>136</v>
      </c>
      <c r="B69" s="7">
        <v>45416</v>
      </c>
      <c r="C69" s="6" t="s">
        <v>133</v>
      </c>
      <c r="D69" s="6" t="s">
        <v>63</v>
      </c>
      <c r="E69" s="6" t="s">
        <v>21</v>
      </c>
      <c r="F69" s="6" t="s">
        <v>26</v>
      </c>
      <c r="G69" s="6">
        <v>47</v>
      </c>
      <c r="H69" s="8">
        <v>543.54999999999995</v>
      </c>
      <c r="I69" s="9">
        <v>0.2</v>
      </c>
      <c r="J69" s="8">
        <v>20437.53</v>
      </c>
      <c r="K69" s="8">
        <v>13595.91</v>
      </c>
      <c r="L69" s="8">
        <v>6841.62</v>
      </c>
      <c r="M69" s="10">
        <f ca="1">NOW()</f>
        <v>46307.471562152779</v>
      </c>
    </row>
    <row r="70" spans="1:13">
      <c r="A70" s="6" t="s">
        <v>137</v>
      </c>
      <c r="B70" s="7">
        <v>45417</v>
      </c>
      <c r="C70" s="6" t="s">
        <v>133</v>
      </c>
      <c r="D70" s="6" t="s">
        <v>115</v>
      </c>
      <c r="E70" s="6" t="s">
        <v>71</v>
      </c>
      <c r="F70" s="6" t="s">
        <v>68</v>
      </c>
      <c r="G70" s="6">
        <v>28</v>
      </c>
      <c r="H70" s="8">
        <v>266.29000000000002</v>
      </c>
      <c r="I70" s="9">
        <v>0.2</v>
      </c>
      <c r="J70" s="8">
        <v>5964.82</v>
      </c>
      <c r="K70" s="8">
        <v>3600.84</v>
      </c>
      <c r="L70" s="8">
        <v>2363.98</v>
      </c>
      <c r="M70" s="10">
        <f ca="1">NOW()</f>
        <v>46307.471562152779</v>
      </c>
    </row>
    <row r="71" spans="1:13">
      <c r="A71" s="6" t="s">
        <v>138</v>
      </c>
      <c r="B71" s="7">
        <v>45419</v>
      </c>
      <c r="C71" s="6" t="s">
        <v>133</v>
      </c>
      <c r="D71" s="6" t="s">
        <v>135</v>
      </c>
      <c r="E71" s="6" t="s">
        <v>25</v>
      </c>
      <c r="F71" s="6" t="s">
        <v>26</v>
      </c>
      <c r="G71" s="6">
        <v>10</v>
      </c>
      <c r="H71" s="8">
        <v>531.11</v>
      </c>
      <c r="I71" s="9">
        <v>0.1</v>
      </c>
      <c r="J71" s="8">
        <v>4780.03</v>
      </c>
      <c r="K71" s="8">
        <v>2710.45</v>
      </c>
      <c r="L71" s="8">
        <v>2069.58</v>
      </c>
      <c r="M71" s="10">
        <f ca="1">NOW()</f>
        <v>46307.471562152779</v>
      </c>
    </row>
    <row r="72" spans="1:13">
      <c r="A72" s="6" t="s">
        <v>139</v>
      </c>
      <c r="B72" s="7">
        <v>45419</v>
      </c>
      <c r="C72" s="6" t="s">
        <v>133</v>
      </c>
      <c r="D72" s="6" t="s">
        <v>140</v>
      </c>
      <c r="E72" s="6" t="s">
        <v>25</v>
      </c>
      <c r="F72" s="6" t="s">
        <v>26</v>
      </c>
      <c r="G72" s="6">
        <v>48</v>
      </c>
      <c r="H72" s="8">
        <v>542.45000000000005</v>
      </c>
      <c r="I72" s="9">
        <v>0.15</v>
      </c>
      <c r="J72" s="8">
        <v>22131.91</v>
      </c>
      <c r="K72" s="8">
        <v>15723.55</v>
      </c>
      <c r="L72" s="8">
        <v>6408.36</v>
      </c>
      <c r="M72" s="10">
        <f ca="1">NOW()</f>
        <v>46307.471562152779</v>
      </c>
    </row>
    <row r="73" spans="1:13">
      <c r="A73" s="6" t="s">
        <v>141</v>
      </c>
      <c r="B73" s="7">
        <v>45420</v>
      </c>
      <c r="C73" s="6" t="s">
        <v>133</v>
      </c>
      <c r="D73" s="6" t="s">
        <v>63</v>
      </c>
      <c r="E73" s="6" t="s">
        <v>17</v>
      </c>
      <c r="F73" s="6" t="s">
        <v>22</v>
      </c>
      <c r="G73" s="6">
        <v>44</v>
      </c>
      <c r="H73" s="8">
        <v>359.4</v>
      </c>
      <c r="I73" s="9">
        <v>0.1</v>
      </c>
      <c r="J73" s="8">
        <v>14232.11</v>
      </c>
      <c r="K73" s="8">
        <v>9266.27</v>
      </c>
      <c r="L73" s="8">
        <v>4965.84</v>
      </c>
      <c r="M73" s="10">
        <f ca="1">NOW()</f>
        <v>46307.471562152779</v>
      </c>
    </row>
    <row r="74" spans="1:13">
      <c r="A74" s="6" t="s">
        <v>142</v>
      </c>
      <c r="B74" s="7">
        <v>45423</v>
      </c>
      <c r="C74" s="6" t="s">
        <v>133</v>
      </c>
      <c r="D74" s="6" t="s">
        <v>143</v>
      </c>
      <c r="E74" s="6" t="s">
        <v>38</v>
      </c>
      <c r="F74" s="6" t="s">
        <v>33</v>
      </c>
      <c r="G74" s="6">
        <v>34</v>
      </c>
      <c r="H74" s="8">
        <v>80.03</v>
      </c>
      <c r="I74" s="9">
        <v>0.1</v>
      </c>
      <c r="J74" s="8">
        <v>2448.88</v>
      </c>
      <c r="K74" s="8">
        <v>1753.63</v>
      </c>
      <c r="L74" s="8">
        <v>695.25</v>
      </c>
      <c r="M74" s="10">
        <f ca="1">NOW()</f>
        <v>46307.471562152779</v>
      </c>
    </row>
    <row r="75" spans="1:13">
      <c r="A75" s="6" t="s">
        <v>144</v>
      </c>
      <c r="B75" s="7">
        <v>45424</v>
      </c>
      <c r="C75" s="6" t="s">
        <v>133</v>
      </c>
      <c r="D75" s="6" t="s">
        <v>48</v>
      </c>
      <c r="E75" s="6" t="s">
        <v>25</v>
      </c>
      <c r="F75" s="6" t="s">
        <v>68</v>
      </c>
      <c r="G75" s="6">
        <v>21</v>
      </c>
      <c r="H75" s="8">
        <v>234.09</v>
      </c>
      <c r="I75" s="9">
        <v>0.05</v>
      </c>
      <c r="J75" s="8">
        <v>4670.1400000000003</v>
      </c>
      <c r="K75" s="8">
        <v>2899.99</v>
      </c>
      <c r="L75" s="8">
        <v>1770.14</v>
      </c>
      <c r="M75" s="10">
        <f ca="1">NOW()</f>
        <v>46307.471562152779</v>
      </c>
    </row>
    <row r="76" spans="1:13">
      <c r="A76" s="6" t="s">
        <v>145</v>
      </c>
      <c r="B76" s="7">
        <v>45425</v>
      </c>
      <c r="C76" s="6" t="s">
        <v>133</v>
      </c>
      <c r="D76" s="6" t="s">
        <v>80</v>
      </c>
      <c r="E76" s="6" t="s">
        <v>21</v>
      </c>
      <c r="F76" s="6" t="s">
        <v>18</v>
      </c>
      <c r="G76" s="6">
        <v>27</v>
      </c>
      <c r="H76" s="8">
        <v>825.18</v>
      </c>
      <c r="I76" s="9">
        <v>0.2</v>
      </c>
      <c r="J76" s="8">
        <v>17823.88</v>
      </c>
      <c r="K76" s="8">
        <v>11666.74</v>
      </c>
      <c r="L76" s="8">
        <v>6157.14</v>
      </c>
      <c r="M76" s="10">
        <f ca="1">NOW()</f>
        <v>46307.471562152779</v>
      </c>
    </row>
    <row r="77" spans="1:13">
      <c r="A77" s="6" t="s">
        <v>146</v>
      </c>
      <c r="B77" s="7">
        <v>45430</v>
      </c>
      <c r="C77" s="6" t="s">
        <v>133</v>
      </c>
      <c r="D77" s="6" t="s">
        <v>82</v>
      </c>
      <c r="E77" s="6" t="s">
        <v>25</v>
      </c>
      <c r="F77" s="6" t="s">
        <v>26</v>
      </c>
      <c r="G77" s="6">
        <v>35</v>
      </c>
      <c r="H77" s="8">
        <v>522.91</v>
      </c>
      <c r="I77" s="9">
        <v>0.05</v>
      </c>
      <c r="J77" s="8">
        <v>17386.849999999999</v>
      </c>
      <c r="K77" s="8">
        <v>11170.22</v>
      </c>
      <c r="L77" s="8">
        <v>6216.63</v>
      </c>
      <c r="M77" s="10">
        <f ca="1">NOW()</f>
        <v>46307.471562152779</v>
      </c>
    </row>
    <row r="78" spans="1:13">
      <c r="A78" s="6" t="s">
        <v>147</v>
      </c>
      <c r="B78" s="7">
        <v>45431</v>
      </c>
      <c r="C78" s="6" t="s">
        <v>133</v>
      </c>
      <c r="D78" s="6" t="s">
        <v>148</v>
      </c>
      <c r="E78" s="6" t="s">
        <v>21</v>
      </c>
      <c r="F78" s="6" t="s">
        <v>65</v>
      </c>
      <c r="G78" s="6">
        <v>29</v>
      </c>
      <c r="H78" s="8">
        <v>138.72999999999999</v>
      </c>
      <c r="I78" s="9">
        <v>0.1</v>
      </c>
      <c r="J78" s="8">
        <v>3620.87</v>
      </c>
      <c r="K78" s="8">
        <v>2498.21</v>
      </c>
      <c r="L78" s="8">
        <v>1122.6600000000001</v>
      </c>
      <c r="M78" s="10">
        <f ca="1">NOW()</f>
        <v>46307.471562152779</v>
      </c>
    </row>
    <row r="79" spans="1:13">
      <c r="A79" s="6" t="s">
        <v>149</v>
      </c>
      <c r="B79" s="7">
        <v>45431</v>
      </c>
      <c r="C79" s="6" t="s">
        <v>133</v>
      </c>
      <c r="D79" s="6" t="s">
        <v>90</v>
      </c>
      <c r="E79" s="6" t="s">
        <v>25</v>
      </c>
      <c r="F79" s="6" t="s">
        <v>26</v>
      </c>
      <c r="G79" s="6">
        <v>32</v>
      </c>
      <c r="H79" s="8">
        <v>543.27</v>
      </c>
      <c r="I79" s="9">
        <v>0.1</v>
      </c>
      <c r="J79" s="8">
        <v>15646.04</v>
      </c>
      <c r="K79" s="8">
        <v>10197.69</v>
      </c>
      <c r="L79" s="8">
        <v>5448.35</v>
      </c>
      <c r="M79" s="10">
        <f ca="1">NOW()</f>
        <v>46307.471562152779</v>
      </c>
    </row>
    <row r="80" spans="1:13">
      <c r="A80" s="6" t="s">
        <v>150</v>
      </c>
      <c r="B80" s="7">
        <v>45431</v>
      </c>
      <c r="C80" s="6" t="s">
        <v>133</v>
      </c>
      <c r="D80" s="6" t="s">
        <v>115</v>
      </c>
      <c r="E80" s="6" t="s">
        <v>21</v>
      </c>
      <c r="F80" s="6" t="s">
        <v>29</v>
      </c>
      <c r="G80" s="6">
        <v>39</v>
      </c>
      <c r="H80" s="8">
        <v>1302.98</v>
      </c>
      <c r="I80" s="9">
        <v>0.1</v>
      </c>
      <c r="J80" s="8">
        <v>45734.61</v>
      </c>
      <c r="K80" s="8">
        <v>25418.87</v>
      </c>
      <c r="L80" s="8">
        <v>20315.740000000002</v>
      </c>
      <c r="M80" s="10">
        <f ca="1">NOW()</f>
        <v>46307.471562152779</v>
      </c>
    </row>
    <row r="81" spans="1:13">
      <c r="A81" s="6" t="s">
        <v>151</v>
      </c>
      <c r="B81" s="7">
        <v>45434</v>
      </c>
      <c r="C81" s="6" t="s">
        <v>133</v>
      </c>
      <c r="D81" s="6" t="s">
        <v>102</v>
      </c>
      <c r="E81" s="6" t="s">
        <v>17</v>
      </c>
      <c r="F81" s="6" t="s">
        <v>22</v>
      </c>
      <c r="G81" s="6">
        <v>15</v>
      </c>
      <c r="H81" s="8">
        <v>316.66000000000003</v>
      </c>
      <c r="I81" s="9">
        <v>0.05</v>
      </c>
      <c r="J81" s="8">
        <v>4512.3599999999997</v>
      </c>
      <c r="K81" s="8">
        <v>2841.4</v>
      </c>
      <c r="L81" s="8">
        <v>1670.96</v>
      </c>
      <c r="M81" s="10">
        <f ca="1">NOW()</f>
        <v>46307.471562152779</v>
      </c>
    </row>
    <row r="82" spans="1:13">
      <c r="A82" s="6" t="s">
        <v>152</v>
      </c>
      <c r="B82" s="7">
        <v>45435</v>
      </c>
      <c r="C82" s="6" t="s">
        <v>133</v>
      </c>
      <c r="D82" s="6" t="s">
        <v>98</v>
      </c>
      <c r="E82" s="6" t="s">
        <v>71</v>
      </c>
      <c r="F82" s="6" t="s">
        <v>26</v>
      </c>
      <c r="G82" s="6">
        <v>27</v>
      </c>
      <c r="H82" s="8">
        <v>515.49</v>
      </c>
      <c r="I82" s="9">
        <v>0.15</v>
      </c>
      <c r="J82" s="8">
        <v>11830.55</v>
      </c>
      <c r="K82" s="8">
        <v>7963.5</v>
      </c>
      <c r="L82" s="8">
        <v>3867.05</v>
      </c>
      <c r="M82" s="10">
        <f ca="1">NOW()</f>
        <v>46307.471562152779</v>
      </c>
    </row>
    <row r="83" spans="1:13">
      <c r="A83" s="6" t="s">
        <v>153</v>
      </c>
      <c r="B83" s="7">
        <v>45440</v>
      </c>
      <c r="C83" s="6" t="s">
        <v>133</v>
      </c>
      <c r="D83" s="6" t="s">
        <v>73</v>
      </c>
      <c r="E83" s="6" t="s">
        <v>25</v>
      </c>
      <c r="F83" s="6" t="s">
        <v>22</v>
      </c>
      <c r="G83" s="6">
        <v>20</v>
      </c>
      <c r="H83" s="8">
        <v>381.17</v>
      </c>
      <c r="I83" s="9">
        <v>0.05</v>
      </c>
      <c r="J83" s="8">
        <v>7242.28</v>
      </c>
      <c r="K83" s="8">
        <v>5090.1099999999997</v>
      </c>
      <c r="L83" s="8">
        <v>2152.17</v>
      </c>
      <c r="M83" s="10">
        <f ca="1">NOW()</f>
        <v>46307.471562152779</v>
      </c>
    </row>
    <row r="84" spans="1:13">
      <c r="A84" s="6" t="s">
        <v>154</v>
      </c>
      <c r="B84" s="7">
        <v>45442</v>
      </c>
      <c r="C84" s="6" t="s">
        <v>133</v>
      </c>
      <c r="D84" s="6" t="s">
        <v>67</v>
      </c>
      <c r="E84" s="6" t="s">
        <v>25</v>
      </c>
      <c r="F84" s="6" t="s">
        <v>68</v>
      </c>
      <c r="G84" s="6">
        <v>35</v>
      </c>
      <c r="H84" s="8">
        <v>231.24</v>
      </c>
      <c r="I84" s="9">
        <v>0.15</v>
      </c>
      <c r="J84" s="8">
        <v>6879.43</v>
      </c>
      <c r="K84" s="8">
        <v>3892.11</v>
      </c>
      <c r="L84" s="8">
        <v>2987.32</v>
      </c>
      <c r="M84" s="10">
        <f ca="1">NOW()</f>
        <v>46307.471562152779</v>
      </c>
    </row>
    <row r="85" spans="1:13">
      <c r="A85" s="6" t="s">
        <v>155</v>
      </c>
      <c r="B85" s="7">
        <v>45446</v>
      </c>
      <c r="C85" s="6" t="s">
        <v>156</v>
      </c>
      <c r="D85" s="6" t="s">
        <v>95</v>
      </c>
      <c r="E85" s="6" t="s">
        <v>38</v>
      </c>
      <c r="F85" s="6" t="s">
        <v>40</v>
      </c>
      <c r="G85" s="6">
        <v>43</v>
      </c>
      <c r="H85" s="8">
        <v>43.52</v>
      </c>
      <c r="I85" s="9">
        <v>0.05</v>
      </c>
      <c r="J85" s="8">
        <v>1777.91</v>
      </c>
      <c r="K85" s="8">
        <v>1196.72</v>
      </c>
      <c r="L85" s="8">
        <v>581.19000000000005</v>
      </c>
      <c r="M85" s="10">
        <f ca="1">NOW()</f>
        <v>46307.471562152779</v>
      </c>
    </row>
    <row r="86" spans="1:13">
      <c r="A86" s="6" t="s">
        <v>157</v>
      </c>
      <c r="B86" s="7">
        <v>45449</v>
      </c>
      <c r="C86" s="6" t="s">
        <v>156</v>
      </c>
      <c r="D86" s="6" t="s">
        <v>107</v>
      </c>
      <c r="E86" s="6" t="s">
        <v>21</v>
      </c>
      <c r="F86" s="6" t="s">
        <v>33</v>
      </c>
      <c r="G86" s="6">
        <v>32</v>
      </c>
      <c r="H86" s="8">
        <v>72.31</v>
      </c>
      <c r="I86" s="9">
        <v>0.1</v>
      </c>
      <c r="J86" s="8">
        <v>2082.5700000000002</v>
      </c>
      <c r="K86" s="8">
        <v>1511.42</v>
      </c>
      <c r="L86" s="8">
        <v>571.16</v>
      </c>
      <c r="M86" s="10">
        <f ca="1">NOW()</f>
        <v>46307.471562152779</v>
      </c>
    </row>
    <row r="87" spans="1:13">
      <c r="A87" s="6" t="s">
        <v>158</v>
      </c>
      <c r="B87" s="7">
        <v>45453</v>
      </c>
      <c r="C87" s="6" t="s">
        <v>156</v>
      </c>
      <c r="D87" s="6" t="s">
        <v>159</v>
      </c>
      <c r="E87" s="6" t="s">
        <v>71</v>
      </c>
      <c r="F87" s="6" t="s">
        <v>65</v>
      </c>
      <c r="G87" s="6">
        <v>5</v>
      </c>
      <c r="H87" s="8">
        <v>141.33000000000001</v>
      </c>
      <c r="I87" s="9">
        <v>0.2</v>
      </c>
      <c r="J87" s="8">
        <v>565.32000000000005</v>
      </c>
      <c r="K87" s="8">
        <v>410.01</v>
      </c>
      <c r="L87" s="8">
        <v>155.31</v>
      </c>
      <c r="M87" s="10">
        <f ca="1">NOW()</f>
        <v>46307.471562152779</v>
      </c>
    </row>
    <row r="88" spans="1:13">
      <c r="A88" s="6" t="s">
        <v>160</v>
      </c>
      <c r="B88" s="7">
        <v>45457</v>
      </c>
      <c r="C88" s="6" t="s">
        <v>156</v>
      </c>
      <c r="D88" s="6" t="s">
        <v>109</v>
      </c>
      <c r="E88" s="6" t="s">
        <v>21</v>
      </c>
      <c r="F88" s="6" t="s">
        <v>68</v>
      </c>
      <c r="G88" s="6">
        <v>29</v>
      </c>
      <c r="H88" s="8">
        <v>229.02</v>
      </c>
      <c r="I88" s="9">
        <v>0</v>
      </c>
      <c r="J88" s="8">
        <v>6641.64</v>
      </c>
      <c r="K88" s="8">
        <v>4834.3500000000004</v>
      </c>
      <c r="L88" s="8">
        <v>1807.29</v>
      </c>
      <c r="M88" s="10">
        <f ca="1">NOW()</f>
        <v>46307.471562152779</v>
      </c>
    </row>
    <row r="89" spans="1:13">
      <c r="A89" s="6" t="s">
        <v>161</v>
      </c>
      <c r="B89" s="7">
        <v>45460</v>
      </c>
      <c r="C89" s="6" t="s">
        <v>156</v>
      </c>
      <c r="D89" s="6" t="s">
        <v>32</v>
      </c>
      <c r="E89" s="6" t="s">
        <v>71</v>
      </c>
      <c r="F89" s="6" t="s">
        <v>65</v>
      </c>
      <c r="G89" s="6">
        <v>22</v>
      </c>
      <c r="H89" s="8">
        <v>153.69999999999999</v>
      </c>
      <c r="I89" s="9">
        <v>0.15</v>
      </c>
      <c r="J89" s="8">
        <v>2874.15</v>
      </c>
      <c r="K89" s="8">
        <v>1954.33</v>
      </c>
      <c r="L89" s="8">
        <v>919.82</v>
      </c>
      <c r="M89" s="10">
        <f ca="1">NOW()</f>
        <v>46307.471562152779</v>
      </c>
    </row>
    <row r="90" spans="1:13">
      <c r="A90" s="6" t="s">
        <v>162</v>
      </c>
      <c r="B90" s="7">
        <v>45462</v>
      </c>
      <c r="C90" s="6" t="s">
        <v>156</v>
      </c>
      <c r="D90" s="6" t="s">
        <v>37</v>
      </c>
      <c r="E90" s="6" t="s">
        <v>71</v>
      </c>
      <c r="F90" s="6" t="s">
        <v>65</v>
      </c>
      <c r="G90" s="6">
        <v>17</v>
      </c>
      <c r="H90" s="8">
        <v>156.71</v>
      </c>
      <c r="I90" s="9">
        <v>0.2</v>
      </c>
      <c r="J90" s="8">
        <v>2131.2800000000002</v>
      </c>
      <c r="K90" s="8">
        <v>1544.45</v>
      </c>
      <c r="L90" s="8">
        <v>586.84</v>
      </c>
      <c r="M90" s="10">
        <f ca="1">NOW()</f>
        <v>46307.471562152779</v>
      </c>
    </row>
    <row r="91" spans="1:13">
      <c r="A91" s="6" t="s">
        <v>163</v>
      </c>
      <c r="B91" s="7">
        <v>45465</v>
      </c>
      <c r="C91" s="6" t="s">
        <v>156</v>
      </c>
      <c r="D91" s="6" t="s">
        <v>77</v>
      </c>
      <c r="E91" s="6" t="s">
        <v>21</v>
      </c>
      <c r="F91" s="6" t="s">
        <v>26</v>
      </c>
      <c r="G91" s="6">
        <v>24</v>
      </c>
      <c r="H91" s="8">
        <v>487.29</v>
      </c>
      <c r="I91" s="9">
        <v>0.1</v>
      </c>
      <c r="J91" s="8">
        <v>10525.36</v>
      </c>
      <c r="K91" s="8">
        <v>6604.49</v>
      </c>
      <c r="L91" s="8">
        <v>3920.87</v>
      </c>
      <c r="M91" s="10">
        <f ca="1">NOW()</f>
        <v>46307.471562152779</v>
      </c>
    </row>
    <row r="92" spans="1:13">
      <c r="A92" s="6" t="s">
        <v>164</v>
      </c>
      <c r="B92" s="7">
        <v>45465</v>
      </c>
      <c r="C92" s="6" t="s">
        <v>156</v>
      </c>
      <c r="D92" s="6" t="s">
        <v>131</v>
      </c>
      <c r="E92" s="6" t="s">
        <v>17</v>
      </c>
      <c r="F92" s="6" t="s">
        <v>68</v>
      </c>
      <c r="G92" s="6">
        <v>34</v>
      </c>
      <c r="H92" s="8">
        <v>247.57</v>
      </c>
      <c r="I92" s="9">
        <v>0.05</v>
      </c>
      <c r="J92" s="8">
        <v>7996.65</v>
      </c>
      <c r="K92" s="8">
        <v>4757.5200000000004</v>
      </c>
      <c r="L92" s="8">
        <v>3239.13</v>
      </c>
      <c r="M92" s="10">
        <f ca="1">NOW()</f>
        <v>46307.471562152779</v>
      </c>
    </row>
    <row r="93" spans="1:13">
      <c r="A93" s="6" t="s">
        <v>165</v>
      </c>
      <c r="B93" s="7">
        <v>45466</v>
      </c>
      <c r="C93" s="6" t="s">
        <v>156</v>
      </c>
      <c r="D93" s="6" t="s">
        <v>95</v>
      </c>
      <c r="E93" s="6" t="s">
        <v>71</v>
      </c>
      <c r="F93" s="6" t="s">
        <v>18</v>
      </c>
      <c r="G93" s="6">
        <v>1</v>
      </c>
      <c r="H93" s="8">
        <v>811.85</v>
      </c>
      <c r="I93" s="9">
        <v>0.15</v>
      </c>
      <c r="J93" s="8">
        <v>690.07</v>
      </c>
      <c r="K93" s="8">
        <v>445.61</v>
      </c>
      <c r="L93" s="8">
        <v>244.46</v>
      </c>
      <c r="M93" s="10">
        <f ca="1">NOW()</f>
        <v>46307.471562152779</v>
      </c>
    </row>
    <row r="94" spans="1:13">
      <c r="A94" s="6" t="s">
        <v>166</v>
      </c>
      <c r="B94" s="7">
        <v>45468</v>
      </c>
      <c r="C94" s="6" t="s">
        <v>156</v>
      </c>
      <c r="D94" s="6" t="s">
        <v>107</v>
      </c>
      <c r="E94" s="6" t="s">
        <v>71</v>
      </c>
      <c r="F94" s="6" t="s">
        <v>65</v>
      </c>
      <c r="G94" s="6">
        <v>44</v>
      </c>
      <c r="H94" s="8">
        <v>151.4</v>
      </c>
      <c r="I94" s="9">
        <v>0</v>
      </c>
      <c r="J94" s="8">
        <v>6661.51</v>
      </c>
      <c r="K94" s="8">
        <v>4252.3500000000004</v>
      </c>
      <c r="L94" s="8">
        <v>2409.16</v>
      </c>
      <c r="M94" s="10">
        <f ca="1">NOW()</f>
        <v>46307.471562152779</v>
      </c>
    </row>
    <row r="95" spans="1:13">
      <c r="A95" s="6" t="s">
        <v>167</v>
      </c>
      <c r="B95" s="7">
        <v>45470</v>
      </c>
      <c r="C95" s="6" t="s">
        <v>156</v>
      </c>
      <c r="D95" s="6" t="s">
        <v>107</v>
      </c>
      <c r="E95" s="6" t="s">
        <v>71</v>
      </c>
      <c r="F95" s="6" t="s">
        <v>18</v>
      </c>
      <c r="G95" s="6">
        <v>5</v>
      </c>
      <c r="H95" s="8">
        <v>806.02</v>
      </c>
      <c r="I95" s="9">
        <v>0.2</v>
      </c>
      <c r="J95" s="8">
        <v>3224.09</v>
      </c>
      <c r="K95" s="8">
        <v>1944.25</v>
      </c>
      <c r="L95" s="8">
        <v>1279.83</v>
      </c>
      <c r="M95" s="10">
        <f ca="1">NOW()</f>
        <v>46307.471562152779</v>
      </c>
    </row>
    <row r="96" spans="1:13">
      <c r="A96" s="6" t="s">
        <v>168</v>
      </c>
      <c r="B96" s="7">
        <v>45470</v>
      </c>
      <c r="C96" s="6" t="s">
        <v>156</v>
      </c>
      <c r="D96" s="6" t="s">
        <v>48</v>
      </c>
      <c r="E96" s="6" t="s">
        <v>38</v>
      </c>
      <c r="F96" s="6" t="s">
        <v>18</v>
      </c>
      <c r="G96" s="6">
        <v>33</v>
      </c>
      <c r="H96" s="8">
        <v>821.32</v>
      </c>
      <c r="I96" s="9">
        <v>0.2</v>
      </c>
      <c r="J96" s="8">
        <v>21682.74</v>
      </c>
      <c r="K96" s="8">
        <v>14136.94</v>
      </c>
      <c r="L96" s="8">
        <v>7545.8</v>
      </c>
      <c r="M96" s="10">
        <f ca="1">NOW()</f>
        <v>46307.471562152779</v>
      </c>
    </row>
    <row r="97" spans="1:13">
      <c r="A97" s="6" t="s">
        <v>169</v>
      </c>
      <c r="B97" s="7">
        <v>45471</v>
      </c>
      <c r="C97" s="6" t="s">
        <v>156</v>
      </c>
      <c r="D97" s="6" t="s">
        <v>170</v>
      </c>
      <c r="E97" s="6" t="s">
        <v>21</v>
      </c>
      <c r="F97" s="6" t="s">
        <v>22</v>
      </c>
      <c r="G97" s="6">
        <v>10</v>
      </c>
      <c r="H97" s="8">
        <v>360.97</v>
      </c>
      <c r="I97" s="9">
        <v>0.05</v>
      </c>
      <c r="J97" s="8">
        <v>3429.23</v>
      </c>
      <c r="K97" s="8">
        <v>2467.1799999999998</v>
      </c>
      <c r="L97" s="8">
        <v>962.05</v>
      </c>
      <c r="M97" s="10">
        <f ca="1">NOW()</f>
        <v>46307.471562152779</v>
      </c>
    </row>
    <row r="98" spans="1:13">
      <c r="A98" s="6" t="s">
        <v>171</v>
      </c>
      <c r="B98" s="7">
        <v>45471</v>
      </c>
      <c r="C98" s="6" t="s">
        <v>156</v>
      </c>
      <c r="D98" s="6" t="s">
        <v>172</v>
      </c>
      <c r="E98" s="6" t="s">
        <v>71</v>
      </c>
      <c r="F98" s="6" t="s">
        <v>65</v>
      </c>
      <c r="G98" s="6">
        <v>6</v>
      </c>
      <c r="H98" s="8">
        <v>149.11000000000001</v>
      </c>
      <c r="I98" s="9">
        <v>0.2</v>
      </c>
      <c r="J98" s="8">
        <v>715.72</v>
      </c>
      <c r="K98" s="8">
        <v>401.1</v>
      </c>
      <c r="L98" s="8">
        <v>314.62</v>
      </c>
      <c r="M98" s="10">
        <f ca="1">NOW()</f>
        <v>46307.471562152779</v>
      </c>
    </row>
    <row r="99" spans="1:13">
      <c r="A99" s="6" t="s">
        <v>173</v>
      </c>
      <c r="B99" s="7">
        <v>45472</v>
      </c>
      <c r="C99" s="6" t="s">
        <v>156</v>
      </c>
      <c r="D99" s="6" t="s">
        <v>87</v>
      </c>
      <c r="E99" s="6" t="s">
        <v>21</v>
      </c>
      <c r="F99" s="6" t="s">
        <v>29</v>
      </c>
      <c r="G99" s="6">
        <v>49</v>
      </c>
      <c r="H99" s="8">
        <v>1218.17</v>
      </c>
      <c r="I99" s="9">
        <v>0.15</v>
      </c>
      <c r="J99" s="8">
        <v>50736.6</v>
      </c>
      <c r="K99" s="8">
        <v>27964.959999999999</v>
      </c>
      <c r="L99" s="8">
        <v>22771.64</v>
      </c>
      <c r="M99" s="10">
        <f ca="1">NOW()</f>
        <v>46307.471562152779</v>
      </c>
    </row>
    <row r="100" spans="1:13">
      <c r="A100" s="6" t="s">
        <v>174</v>
      </c>
      <c r="B100" s="7">
        <v>45472</v>
      </c>
      <c r="C100" s="6" t="s">
        <v>156</v>
      </c>
      <c r="D100" s="6" t="s">
        <v>140</v>
      </c>
      <c r="E100" s="6" t="s">
        <v>17</v>
      </c>
      <c r="F100" s="6" t="s">
        <v>40</v>
      </c>
      <c r="G100" s="6">
        <v>47</v>
      </c>
      <c r="H100" s="8">
        <v>36.409999999999997</v>
      </c>
      <c r="I100" s="9">
        <v>0.1</v>
      </c>
      <c r="J100" s="8">
        <v>1540.21</v>
      </c>
      <c r="K100" s="8">
        <v>1032.07</v>
      </c>
      <c r="L100" s="8">
        <v>508.14</v>
      </c>
      <c r="M100" s="10">
        <f ca="1">NOW()</f>
        <v>46307.471562152779</v>
      </c>
    </row>
    <row r="101" spans="1:13">
      <c r="A101" s="6" t="s">
        <v>175</v>
      </c>
      <c r="B101" s="7">
        <v>45473</v>
      </c>
      <c r="C101" s="6" t="s">
        <v>156</v>
      </c>
      <c r="D101" s="6" t="s">
        <v>119</v>
      </c>
      <c r="E101" s="6" t="s">
        <v>17</v>
      </c>
      <c r="F101" s="6" t="s">
        <v>29</v>
      </c>
      <c r="G101" s="6">
        <v>23</v>
      </c>
      <c r="H101" s="8">
        <v>1130.42</v>
      </c>
      <c r="I101" s="9">
        <v>0.05</v>
      </c>
      <c r="J101" s="8">
        <v>24699.64</v>
      </c>
      <c r="K101" s="8">
        <v>16879.41</v>
      </c>
      <c r="L101" s="8">
        <v>7820.24</v>
      </c>
      <c r="M101" s="10">
        <f ca="1">NOW()</f>
        <v>46307.471562152779</v>
      </c>
    </row>
    <row r="102" spans="1:13">
      <c r="A102" s="6" t="s">
        <v>176</v>
      </c>
      <c r="B102" s="7">
        <v>45480</v>
      </c>
      <c r="C102" s="6" t="s">
        <v>177</v>
      </c>
      <c r="D102" s="6" t="s">
        <v>55</v>
      </c>
      <c r="E102" s="6" t="s">
        <v>17</v>
      </c>
      <c r="F102" s="6" t="s">
        <v>22</v>
      </c>
      <c r="G102" s="6">
        <v>26</v>
      </c>
      <c r="H102" s="8">
        <v>363.43</v>
      </c>
      <c r="I102" s="9">
        <v>0.1</v>
      </c>
      <c r="J102" s="8">
        <v>8504.15</v>
      </c>
      <c r="K102" s="8">
        <v>5806.56</v>
      </c>
      <c r="L102" s="8">
        <v>2697.58</v>
      </c>
      <c r="M102" s="10">
        <f ca="1">NOW()</f>
        <v>46307.471562152779</v>
      </c>
    </row>
    <row r="103" spans="1:13">
      <c r="A103" s="6" t="s">
        <v>178</v>
      </c>
      <c r="B103" s="7">
        <v>45482</v>
      </c>
      <c r="C103" s="6" t="s">
        <v>177</v>
      </c>
      <c r="D103" s="6" t="s">
        <v>37</v>
      </c>
      <c r="E103" s="6" t="s">
        <v>71</v>
      </c>
      <c r="F103" s="6" t="s">
        <v>18</v>
      </c>
      <c r="G103" s="6">
        <v>6</v>
      </c>
      <c r="H103" s="8">
        <v>853.08</v>
      </c>
      <c r="I103" s="9">
        <v>0</v>
      </c>
      <c r="J103" s="8">
        <v>5118.5</v>
      </c>
      <c r="K103" s="8">
        <v>3257.29</v>
      </c>
      <c r="L103" s="8">
        <v>1861.21</v>
      </c>
      <c r="M103" s="10">
        <f ca="1">NOW()</f>
        <v>46307.471562152779</v>
      </c>
    </row>
    <row r="104" spans="1:13">
      <c r="A104" s="6" t="s">
        <v>179</v>
      </c>
      <c r="B104" s="7">
        <v>45484</v>
      </c>
      <c r="C104" s="6" t="s">
        <v>177</v>
      </c>
      <c r="D104" s="6" t="s">
        <v>109</v>
      </c>
      <c r="E104" s="6" t="s">
        <v>21</v>
      </c>
      <c r="F104" s="6" t="s">
        <v>29</v>
      </c>
      <c r="G104" s="6">
        <v>43</v>
      </c>
      <c r="H104" s="8">
        <v>1160.82</v>
      </c>
      <c r="I104" s="9">
        <v>0.2</v>
      </c>
      <c r="J104" s="8">
        <v>39932.33</v>
      </c>
      <c r="K104" s="8">
        <v>23009.4</v>
      </c>
      <c r="L104" s="8">
        <v>16922.93</v>
      </c>
      <c r="M104" s="10">
        <f ca="1">NOW()</f>
        <v>46307.471562152779</v>
      </c>
    </row>
    <row r="105" spans="1:13">
      <c r="A105" s="6" t="s">
        <v>180</v>
      </c>
      <c r="B105" s="7">
        <v>45486</v>
      </c>
      <c r="C105" s="6" t="s">
        <v>177</v>
      </c>
      <c r="D105" s="6" t="s">
        <v>55</v>
      </c>
      <c r="E105" s="6" t="s">
        <v>17</v>
      </c>
      <c r="F105" s="6" t="s">
        <v>68</v>
      </c>
      <c r="G105" s="6">
        <v>16</v>
      </c>
      <c r="H105" s="8">
        <v>262.52</v>
      </c>
      <c r="I105" s="9">
        <v>0.2</v>
      </c>
      <c r="J105" s="8">
        <v>3360.3</v>
      </c>
      <c r="K105" s="8">
        <v>2258.35</v>
      </c>
      <c r="L105" s="8">
        <v>1101.96</v>
      </c>
      <c r="M105" s="10">
        <f ca="1">NOW()</f>
        <v>46307.471562152779</v>
      </c>
    </row>
    <row r="106" spans="1:13">
      <c r="A106" s="6" t="s">
        <v>181</v>
      </c>
      <c r="B106" s="7">
        <v>45486</v>
      </c>
      <c r="C106" s="6" t="s">
        <v>177</v>
      </c>
      <c r="D106" s="6" t="s">
        <v>73</v>
      </c>
      <c r="E106" s="6" t="s">
        <v>17</v>
      </c>
      <c r="F106" s="6" t="s">
        <v>40</v>
      </c>
      <c r="G106" s="6">
        <v>21</v>
      </c>
      <c r="H106" s="8">
        <v>37.69</v>
      </c>
      <c r="I106" s="9">
        <v>0.1</v>
      </c>
      <c r="J106" s="8">
        <v>712.4</v>
      </c>
      <c r="K106" s="8">
        <v>439.91</v>
      </c>
      <c r="L106" s="8">
        <v>272.49</v>
      </c>
      <c r="M106" s="10">
        <f ca="1">NOW()</f>
        <v>46307.471562152779</v>
      </c>
    </row>
    <row r="107" spans="1:13">
      <c r="A107" s="6" t="s">
        <v>182</v>
      </c>
      <c r="B107" s="7">
        <v>45488</v>
      </c>
      <c r="C107" s="6" t="s">
        <v>177</v>
      </c>
      <c r="D107" s="6" t="s">
        <v>104</v>
      </c>
      <c r="E107" s="6" t="s">
        <v>17</v>
      </c>
      <c r="F107" s="6" t="s">
        <v>40</v>
      </c>
      <c r="G107" s="6">
        <v>45</v>
      </c>
      <c r="H107" s="8">
        <v>38</v>
      </c>
      <c r="I107" s="9">
        <v>0.1</v>
      </c>
      <c r="J107" s="8">
        <v>1539.03</v>
      </c>
      <c r="K107" s="8">
        <v>907.79</v>
      </c>
      <c r="L107" s="8">
        <v>631.24</v>
      </c>
      <c r="M107" s="10">
        <f ca="1">NOW()</f>
        <v>46307.471562152779</v>
      </c>
    </row>
    <row r="108" spans="1:13">
      <c r="A108" s="6" t="s">
        <v>183</v>
      </c>
      <c r="B108" s="7">
        <v>45493</v>
      </c>
      <c r="C108" s="6" t="s">
        <v>177</v>
      </c>
      <c r="D108" s="6" t="s">
        <v>70</v>
      </c>
      <c r="E108" s="6" t="s">
        <v>38</v>
      </c>
      <c r="F108" s="6" t="s">
        <v>68</v>
      </c>
      <c r="G108" s="6">
        <v>9</v>
      </c>
      <c r="H108" s="8">
        <v>274.04000000000002</v>
      </c>
      <c r="I108" s="9">
        <v>0.2</v>
      </c>
      <c r="J108" s="8">
        <v>1973.06</v>
      </c>
      <c r="K108" s="8">
        <v>1095.82</v>
      </c>
      <c r="L108" s="8">
        <v>877.24</v>
      </c>
      <c r="M108" s="10">
        <f ca="1">NOW()</f>
        <v>46307.471562152779</v>
      </c>
    </row>
    <row r="109" spans="1:13">
      <c r="A109" s="6" t="s">
        <v>184</v>
      </c>
      <c r="B109" s="7">
        <v>45496</v>
      </c>
      <c r="C109" s="6" t="s">
        <v>177</v>
      </c>
      <c r="D109" s="6" t="s">
        <v>16</v>
      </c>
      <c r="E109" s="6" t="s">
        <v>71</v>
      </c>
      <c r="F109" s="6" t="s">
        <v>22</v>
      </c>
      <c r="G109" s="6">
        <v>35</v>
      </c>
      <c r="H109" s="8">
        <v>367.87</v>
      </c>
      <c r="I109" s="9">
        <v>0.05</v>
      </c>
      <c r="J109" s="8">
        <v>12231.63</v>
      </c>
      <c r="K109" s="8">
        <v>8471.5</v>
      </c>
      <c r="L109" s="8">
        <v>3760.13</v>
      </c>
      <c r="M109" s="10">
        <f ca="1">NOW()</f>
        <v>46307.471562152779</v>
      </c>
    </row>
    <row r="110" spans="1:13">
      <c r="A110" s="6" t="s">
        <v>185</v>
      </c>
      <c r="B110" s="7">
        <v>45497</v>
      </c>
      <c r="C110" s="6" t="s">
        <v>177</v>
      </c>
      <c r="D110" s="6" t="s">
        <v>48</v>
      </c>
      <c r="E110" s="6" t="s">
        <v>17</v>
      </c>
      <c r="F110" s="6" t="s">
        <v>18</v>
      </c>
      <c r="G110" s="6">
        <v>11</v>
      </c>
      <c r="H110" s="8">
        <v>772.77</v>
      </c>
      <c r="I110" s="9">
        <v>0.15</v>
      </c>
      <c r="J110" s="8">
        <v>7225.39</v>
      </c>
      <c r="K110" s="8">
        <v>4390.46</v>
      </c>
      <c r="L110" s="8">
        <v>2834.93</v>
      </c>
      <c r="M110" s="10">
        <f ca="1">NOW()</f>
        <v>46307.471562152779</v>
      </c>
    </row>
    <row r="111" spans="1:13">
      <c r="A111" s="6" t="s">
        <v>186</v>
      </c>
      <c r="B111" s="7">
        <v>45497</v>
      </c>
      <c r="C111" s="6" t="s">
        <v>177</v>
      </c>
      <c r="D111" s="6" t="s">
        <v>42</v>
      </c>
      <c r="E111" s="6" t="s">
        <v>17</v>
      </c>
      <c r="F111" s="6" t="s">
        <v>33</v>
      </c>
      <c r="G111" s="6">
        <v>23</v>
      </c>
      <c r="H111" s="8">
        <v>72.099999999999994</v>
      </c>
      <c r="I111" s="9">
        <v>0.05</v>
      </c>
      <c r="J111" s="8">
        <v>1575.33</v>
      </c>
      <c r="K111" s="8">
        <v>1044.8599999999999</v>
      </c>
      <c r="L111" s="8">
        <v>530.47</v>
      </c>
      <c r="M111" s="10">
        <f ca="1">NOW()</f>
        <v>46307.471562152779</v>
      </c>
    </row>
    <row r="112" spans="1:13">
      <c r="A112" s="6" t="s">
        <v>187</v>
      </c>
      <c r="B112" s="7">
        <v>45498</v>
      </c>
      <c r="C112" s="6" t="s">
        <v>177</v>
      </c>
      <c r="D112" s="6" t="s">
        <v>50</v>
      </c>
      <c r="E112" s="6" t="s">
        <v>21</v>
      </c>
      <c r="F112" s="6" t="s">
        <v>29</v>
      </c>
      <c r="G112" s="6">
        <v>30</v>
      </c>
      <c r="H112" s="8">
        <v>1101.1300000000001</v>
      </c>
      <c r="I112" s="9">
        <v>0.1</v>
      </c>
      <c r="J112" s="8">
        <v>29730.63</v>
      </c>
      <c r="K112" s="8">
        <v>18274.07</v>
      </c>
      <c r="L112" s="8">
        <v>11456.56</v>
      </c>
      <c r="M112" s="10">
        <f ca="1">NOW()</f>
        <v>46307.471562152779</v>
      </c>
    </row>
    <row r="113" spans="1:13">
      <c r="A113" s="6" t="s">
        <v>188</v>
      </c>
      <c r="B113" s="7">
        <v>45499</v>
      </c>
      <c r="C113" s="6" t="s">
        <v>177</v>
      </c>
      <c r="D113" s="6" t="s">
        <v>32</v>
      </c>
      <c r="E113" s="6" t="s">
        <v>17</v>
      </c>
      <c r="F113" s="6" t="s">
        <v>40</v>
      </c>
      <c r="G113" s="6">
        <v>37</v>
      </c>
      <c r="H113" s="8">
        <v>39.24</v>
      </c>
      <c r="I113" s="9">
        <v>0.15</v>
      </c>
      <c r="J113" s="8">
        <v>1233.95</v>
      </c>
      <c r="K113" s="8">
        <v>750.12</v>
      </c>
      <c r="L113" s="8">
        <v>483.83</v>
      </c>
      <c r="M113" s="10">
        <f ca="1">NOW()</f>
        <v>46307.471562152779</v>
      </c>
    </row>
    <row r="114" spans="1:13">
      <c r="A114" s="6" t="s">
        <v>189</v>
      </c>
      <c r="B114" s="7">
        <v>45500</v>
      </c>
      <c r="C114" s="6" t="s">
        <v>177</v>
      </c>
      <c r="D114" s="6" t="s">
        <v>48</v>
      </c>
      <c r="E114" s="6" t="s">
        <v>17</v>
      </c>
      <c r="F114" s="6" t="s">
        <v>65</v>
      </c>
      <c r="G114" s="6">
        <v>36</v>
      </c>
      <c r="H114" s="8">
        <v>135.30000000000001</v>
      </c>
      <c r="I114" s="9">
        <v>0.05</v>
      </c>
      <c r="J114" s="8">
        <v>4627.42</v>
      </c>
      <c r="K114" s="8">
        <v>2624.31</v>
      </c>
      <c r="L114" s="8">
        <v>2003.1</v>
      </c>
      <c r="M114" s="10">
        <f ca="1">NOW()</f>
        <v>46307.471562152779</v>
      </c>
    </row>
    <row r="115" spans="1:13">
      <c r="A115" s="6" t="s">
        <v>190</v>
      </c>
      <c r="B115" s="7">
        <v>45501</v>
      </c>
      <c r="C115" s="6" t="s">
        <v>177</v>
      </c>
      <c r="D115" s="6" t="s">
        <v>172</v>
      </c>
      <c r="E115" s="6" t="s">
        <v>38</v>
      </c>
      <c r="F115" s="6" t="s">
        <v>40</v>
      </c>
      <c r="G115" s="6">
        <v>41</v>
      </c>
      <c r="H115" s="8">
        <v>42.51</v>
      </c>
      <c r="I115" s="9">
        <v>0</v>
      </c>
      <c r="J115" s="8">
        <v>1743.07</v>
      </c>
      <c r="K115" s="8">
        <v>1122.54</v>
      </c>
      <c r="L115" s="8">
        <v>620.53</v>
      </c>
      <c r="M115" s="10">
        <f ca="1">NOW()</f>
        <v>46307.471562152779</v>
      </c>
    </row>
    <row r="116" spans="1:13">
      <c r="A116" s="6" t="s">
        <v>191</v>
      </c>
      <c r="B116" s="7">
        <v>45502</v>
      </c>
      <c r="C116" s="6" t="s">
        <v>177</v>
      </c>
      <c r="D116" s="6" t="s">
        <v>125</v>
      </c>
      <c r="E116" s="6" t="s">
        <v>71</v>
      </c>
      <c r="F116" s="6" t="s">
        <v>22</v>
      </c>
      <c r="G116" s="6">
        <v>7</v>
      </c>
      <c r="H116" s="8">
        <v>321.79000000000002</v>
      </c>
      <c r="I116" s="9">
        <v>0.15</v>
      </c>
      <c r="J116" s="8">
        <v>1914.62</v>
      </c>
      <c r="K116" s="8">
        <v>1188.71</v>
      </c>
      <c r="L116" s="8">
        <v>725.91</v>
      </c>
      <c r="M116" s="10">
        <f ca="1">NOW()</f>
        <v>46307.471562152779</v>
      </c>
    </row>
    <row r="117" spans="1:13">
      <c r="A117" s="6" t="s">
        <v>192</v>
      </c>
      <c r="B117" s="7">
        <v>45502</v>
      </c>
      <c r="C117" s="6" t="s">
        <v>177</v>
      </c>
      <c r="D117" s="6" t="s">
        <v>159</v>
      </c>
      <c r="E117" s="6" t="s">
        <v>25</v>
      </c>
      <c r="F117" s="6" t="s">
        <v>65</v>
      </c>
      <c r="G117" s="6">
        <v>23</v>
      </c>
      <c r="H117" s="8">
        <v>146.25</v>
      </c>
      <c r="I117" s="9">
        <v>0.05</v>
      </c>
      <c r="J117" s="8">
        <v>3195.46</v>
      </c>
      <c r="K117" s="8">
        <v>1913.57</v>
      </c>
      <c r="L117" s="8">
        <v>1281.8900000000001</v>
      </c>
      <c r="M117" s="10">
        <f ca="1">NOW()</f>
        <v>46307.471562152779</v>
      </c>
    </row>
    <row r="118" spans="1:13">
      <c r="A118" s="6" t="s">
        <v>193</v>
      </c>
      <c r="B118" s="7">
        <v>45507</v>
      </c>
      <c r="C118" s="6" t="s">
        <v>194</v>
      </c>
      <c r="D118" s="6" t="s">
        <v>140</v>
      </c>
      <c r="E118" s="6" t="s">
        <v>71</v>
      </c>
      <c r="F118" s="6" t="s">
        <v>33</v>
      </c>
      <c r="G118" s="6">
        <v>35</v>
      </c>
      <c r="H118" s="8">
        <v>79.45</v>
      </c>
      <c r="I118" s="9">
        <v>0</v>
      </c>
      <c r="J118" s="8">
        <v>2780.92</v>
      </c>
      <c r="K118" s="8">
        <v>1644.54</v>
      </c>
      <c r="L118" s="8">
        <v>1136.3800000000001</v>
      </c>
      <c r="M118" s="10">
        <f ca="1">NOW()</f>
        <v>46307.471562152779</v>
      </c>
    </row>
    <row r="119" spans="1:13">
      <c r="A119" s="6" t="s">
        <v>195</v>
      </c>
      <c r="B119" s="7">
        <v>45512</v>
      </c>
      <c r="C119" s="6" t="s">
        <v>194</v>
      </c>
      <c r="D119" s="6" t="s">
        <v>196</v>
      </c>
      <c r="E119" s="6" t="s">
        <v>17</v>
      </c>
      <c r="F119" s="6" t="s">
        <v>40</v>
      </c>
      <c r="G119" s="6">
        <v>39</v>
      </c>
      <c r="H119" s="8">
        <v>40.24</v>
      </c>
      <c r="I119" s="9">
        <v>0.15</v>
      </c>
      <c r="J119" s="8">
        <v>1334.1</v>
      </c>
      <c r="K119" s="8">
        <v>868.65</v>
      </c>
      <c r="L119" s="8">
        <v>465.46</v>
      </c>
      <c r="M119" s="10">
        <f ca="1">NOW()</f>
        <v>46307.471562152779</v>
      </c>
    </row>
    <row r="120" spans="1:13">
      <c r="A120" s="6" t="s">
        <v>197</v>
      </c>
      <c r="B120" s="7">
        <v>45512</v>
      </c>
      <c r="C120" s="6" t="s">
        <v>194</v>
      </c>
      <c r="D120" s="6" t="s">
        <v>16</v>
      </c>
      <c r="E120" s="6" t="s">
        <v>71</v>
      </c>
      <c r="F120" s="6" t="s">
        <v>40</v>
      </c>
      <c r="G120" s="6">
        <v>18</v>
      </c>
      <c r="H120" s="8">
        <v>37.72</v>
      </c>
      <c r="I120" s="9">
        <v>0.2</v>
      </c>
      <c r="J120" s="8">
        <v>543.23</v>
      </c>
      <c r="K120" s="8">
        <v>311.14</v>
      </c>
      <c r="L120" s="8">
        <v>232.09</v>
      </c>
      <c r="M120" s="10">
        <f ca="1">NOW()</f>
        <v>46307.471562152779</v>
      </c>
    </row>
    <row r="121" spans="1:13">
      <c r="A121" s="6" t="s">
        <v>198</v>
      </c>
      <c r="B121" s="7">
        <v>45516</v>
      </c>
      <c r="C121" s="6" t="s">
        <v>194</v>
      </c>
      <c r="D121" s="6" t="s">
        <v>35</v>
      </c>
      <c r="E121" s="6" t="s">
        <v>71</v>
      </c>
      <c r="F121" s="6" t="s">
        <v>29</v>
      </c>
      <c r="G121" s="6">
        <v>14</v>
      </c>
      <c r="H121" s="8">
        <v>1144.0899999999999</v>
      </c>
      <c r="I121" s="9">
        <v>0.05</v>
      </c>
      <c r="J121" s="8">
        <v>15216.44</v>
      </c>
      <c r="K121" s="8">
        <v>11192.22</v>
      </c>
      <c r="L121" s="8">
        <v>4024.22</v>
      </c>
      <c r="M121" s="10">
        <f ca="1">NOW()</f>
        <v>46307.471562152779</v>
      </c>
    </row>
    <row r="122" spans="1:13">
      <c r="A122" s="6" t="s">
        <v>199</v>
      </c>
      <c r="B122" s="7">
        <v>45516</v>
      </c>
      <c r="C122" s="6" t="s">
        <v>194</v>
      </c>
      <c r="D122" s="6" t="s">
        <v>170</v>
      </c>
      <c r="E122" s="6" t="s">
        <v>17</v>
      </c>
      <c r="F122" s="6" t="s">
        <v>18</v>
      </c>
      <c r="G122" s="6">
        <v>33</v>
      </c>
      <c r="H122" s="8">
        <v>823.38</v>
      </c>
      <c r="I122" s="9">
        <v>0</v>
      </c>
      <c r="J122" s="8">
        <v>27171.55</v>
      </c>
      <c r="K122" s="8">
        <v>16290.67</v>
      </c>
      <c r="L122" s="8">
        <v>10880.88</v>
      </c>
      <c r="M122" s="10">
        <f ca="1">NOW()</f>
        <v>46307.471562152779</v>
      </c>
    </row>
    <row r="123" spans="1:13">
      <c r="A123" s="6" t="s">
        <v>200</v>
      </c>
      <c r="B123" s="7">
        <v>45518</v>
      </c>
      <c r="C123" s="6" t="s">
        <v>194</v>
      </c>
      <c r="D123" s="6" t="s">
        <v>50</v>
      </c>
      <c r="E123" s="6" t="s">
        <v>17</v>
      </c>
      <c r="F123" s="6" t="s">
        <v>29</v>
      </c>
      <c r="G123" s="6">
        <v>49</v>
      </c>
      <c r="H123" s="8">
        <v>1261.5</v>
      </c>
      <c r="I123" s="9">
        <v>0.15</v>
      </c>
      <c r="J123" s="8">
        <v>52541.66</v>
      </c>
      <c r="K123" s="8">
        <v>34351.360000000001</v>
      </c>
      <c r="L123" s="8">
        <v>18190.3</v>
      </c>
      <c r="M123" s="10">
        <f ca="1">NOW()</f>
        <v>46307.471562152779</v>
      </c>
    </row>
    <row r="124" spans="1:13">
      <c r="A124" s="6" t="s">
        <v>201</v>
      </c>
      <c r="B124" s="7">
        <v>45518</v>
      </c>
      <c r="C124" s="6" t="s">
        <v>194</v>
      </c>
      <c r="D124" s="6" t="s">
        <v>77</v>
      </c>
      <c r="E124" s="6" t="s">
        <v>21</v>
      </c>
      <c r="F124" s="6" t="s">
        <v>33</v>
      </c>
      <c r="G124" s="6">
        <v>41</v>
      </c>
      <c r="H124" s="8">
        <v>77.06</v>
      </c>
      <c r="I124" s="9">
        <v>0.15</v>
      </c>
      <c r="J124" s="8">
        <v>2685.48</v>
      </c>
      <c r="K124" s="8">
        <v>1513.69</v>
      </c>
      <c r="L124" s="8">
        <v>1171.79</v>
      </c>
      <c r="M124" s="10">
        <f ca="1">NOW()</f>
        <v>46307.471562152779</v>
      </c>
    </row>
    <row r="125" spans="1:13">
      <c r="A125" s="6" t="s">
        <v>202</v>
      </c>
      <c r="B125" s="7">
        <v>45521</v>
      </c>
      <c r="C125" s="6" t="s">
        <v>194</v>
      </c>
      <c r="D125" s="6" t="s">
        <v>109</v>
      </c>
      <c r="E125" s="6" t="s">
        <v>21</v>
      </c>
      <c r="F125" s="6" t="s">
        <v>29</v>
      </c>
      <c r="G125" s="6">
        <v>36</v>
      </c>
      <c r="H125" s="8">
        <v>1127.72</v>
      </c>
      <c r="I125" s="9">
        <v>0.2</v>
      </c>
      <c r="J125" s="8">
        <v>32478.37</v>
      </c>
      <c r="K125" s="8">
        <v>20588.16</v>
      </c>
      <c r="L125" s="8">
        <v>11890.2</v>
      </c>
      <c r="M125" s="10">
        <f ca="1">NOW()</f>
        <v>46307.471562152779</v>
      </c>
    </row>
    <row r="126" spans="1:13">
      <c r="A126" s="6" t="s">
        <v>203</v>
      </c>
      <c r="B126" s="7">
        <v>45522</v>
      </c>
      <c r="C126" s="6" t="s">
        <v>194</v>
      </c>
      <c r="D126" s="6" t="s">
        <v>82</v>
      </c>
      <c r="E126" s="6" t="s">
        <v>38</v>
      </c>
      <c r="F126" s="6" t="s">
        <v>33</v>
      </c>
      <c r="G126" s="6">
        <v>39</v>
      </c>
      <c r="H126" s="8">
        <v>79.61</v>
      </c>
      <c r="I126" s="9">
        <v>0.05</v>
      </c>
      <c r="J126" s="8">
        <v>2949.55</v>
      </c>
      <c r="K126" s="8">
        <v>2187.2199999999998</v>
      </c>
      <c r="L126" s="8">
        <v>762.33</v>
      </c>
      <c r="M126" s="10">
        <f ca="1">NOW()</f>
        <v>46307.471562152779</v>
      </c>
    </row>
    <row r="127" spans="1:13">
      <c r="A127" s="6" t="s">
        <v>204</v>
      </c>
      <c r="B127" s="7">
        <v>45524</v>
      </c>
      <c r="C127" s="6" t="s">
        <v>194</v>
      </c>
      <c r="D127" s="6" t="s">
        <v>37</v>
      </c>
      <c r="E127" s="6" t="s">
        <v>17</v>
      </c>
      <c r="F127" s="6" t="s">
        <v>33</v>
      </c>
      <c r="G127" s="6">
        <v>4</v>
      </c>
      <c r="H127" s="8">
        <v>78.37</v>
      </c>
      <c r="I127" s="9">
        <v>0.05</v>
      </c>
      <c r="J127" s="8">
        <v>297.81</v>
      </c>
      <c r="K127" s="8">
        <v>221.46</v>
      </c>
      <c r="L127" s="8">
        <v>76.349999999999994</v>
      </c>
      <c r="M127" s="10">
        <f ca="1">NOW()</f>
        <v>46307.471562152779</v>
      </c>
    </row>
    <row r="128" spans="1:13">
      <c r="A128" s="6" t="s">
        <v>205</v>
      </c>
      <c r="B128" s="7">
        <v>45524</v>
      </c>
      <c r="C128" s="6" t="s">
        <v>194</v>
      </c>
      <c r="D128" s="6" t="s">
        <v>170</v>
      </c>
      <c r="E128" s="6" t="s">
        <v>25</v>
      </c>
      <c r="F128" s="6" t="s">
        <v>22</v>
      </c>
      <c r="G128" s="6">
        <v>28</v>
      </c>
      <c r="H128" s="8">
        <v>346.61</v>
      </c>
      <c r="I128" s="9">
        <v>0.05</v>
      </c>
      <c r="J128" s="8">
        <v>9219.7999999999993</v>
      </c>
      <c r="K128" s="8">
        <v>5833.94</v>
      </c>
      <c r="L128" s="8">
        <v>3385.85</v>
      </c>
      <c r="M128" s="10">
        <f ca="1">NOW()</f>
        <v>46307.471562152779</v>
      </c>
    </row>
    <row r="129" spans="1:13">
      <c r="A129" s="6" t="s">
        <v>206</v>
      </c>
      <c r="B129" s="7">
        <v>45524</v>
      </c>
      <c r="C129" s="6" t="s">
        <v>194</v>
      </c>
      <c r="D129" s="6" t="s">
        <v>16</v>
      </c>
      <c r="E129" s="6" t="s">
        <v>71</v>
      </c>
      <c r="F129" s="6" t="s">
        <v>65</v>
      </c>
      <c r="G129" s="6">
        <v>3</v>
      </c>
      <c r="H129" s="8">
        <v>141.94</v>
      </c>
      <c r="I129" s="9">
        <v>0.1</v>
      </c>
      <c r="J129" s="8">
        <v>383.25</v>
      </c>
      <c r="K129" s="8">
        <v>264.67</v>
      </c>
      <c r="L129" s="8">
        <v>118.58</v>
      </c>
      <c r="M129" s="10">
        <f ca="1">NOW()</f>
        <v>46307.471562152779</v>
      </c>
    </row>
    <row r="130" spans="1:13">
      <c r="A130" s="6" t="s">
        <v>207</v>
      </c>
      <c r="B130" s="7">
        <v>45524</v>
      </c>
      <c r="C130" s="6" t="s">
        <v>194</v>
      </c>
      <c r="D130" s="6" t="s">
        <v>32</v>
      </c>
      <c r="E130" s="6" t="s">
        <v>38</v>
      </c>
      <c r="F130" s="6" t="s">
        <v>29</v>
      </c>
      <c r="G130" s="6">
        <v>6</v>
      </c>
      <c r="H130" s="8">
        <v>1259.07</v>
      </c>
      <c r="I130" s="9">
        <v>0.05</v>
      </c>
      <c r="J130" s="8">
        <v>7176.68</v>
      </c>
      <c r="K130" s="8">
        <v>4487.1400000000003</v>
      </c>
      <c r="L130" s="8">
        <v>2689.54</v>
      </c>
      <c r="M130" s="10">
        <f ca="1">NOW()</f>
        <v>46307.471562152779</v>
      </c>
    </row>
    <row r="131" spans="1:13">
      <c r="A131" s="6" t="s">
        <v>208</v>
      </c>
      <c r="B131" s="7">
        <v>45527</v>
      </c>
      <c r="C131" s="6" t="s">
        <v>194</v>
      </c>
      <c r="D131" s="6" t="s">
        <v>172</v>
      </c>
      <c r="E131" s="6" t="s">
        <v>38</v>
      </c>
      <c r="F131" s="6" t="s">
        <v>18</v>
      </c>
      <c r="G131" s="6">
        <v>25</v>
      </c>
      <c r="H131" s="8">
        <v>859.55</v>
      </c>
      <c r="I131" s="9">
        <v>0.15</v>
      </c>
      <c r="J131" s="8">
        <v>18265.37</v>
      </c>
      <c r="K131" s="8">
        <v>10858.52</v>
      </c>
      <c r="L131" s="8">
        <v>7406.85</v>
      </c>
      <c r="M131" s="10">
        <f ca="1">NOW()</f>
        <v>46307.471562152779</v>
      </c>
    </row>
    <row r="132" spans="1:13">
      <c r="A132" s="6" t="s">
        <v>209</v>
      </c>
      <c r="B132" s="7">
        <v>45527</v>
      </c>
      <c r="C132" s="6" t="s">
        <v>194</v>
      </c>
      <c r="D132" s="6" t="s">
        <v>48</v>
      </c>
      <c r="E132" s="6" t="s">
        <v>25</v>
      </c>
      <c r="F132" s="6" t="s">
        <v>40</v>
      </c>
      <c r="G132" s="6">
        <v>32</v>
      </c>
      <c r="H132" s="8">
        <v>36.840000000000003</v>
      </c>
      <c r="I132" s="9">
        <v>0.1</v>
      </c>
      <c r="J132" s="8">
        <v>1061.1199999999999</v>
      </c>
      <c r="K132" s="8">
        <v>718.5</v>
      </c>
      <c r="L132" s="8">
        <v>342.62</v>
      </c>
      <c r="M132" s="10">
        <f ca="1">NOW()</f>
        <v>46307.471562152779</v>
      </c>
    </row>
    <row r="133" spans="1:13">
      <c r="A133" s="6" t="s">
        <v>210</v>
      </c>
      <c r="B133" s="7">
        <v>45527</v>
      </c>
      <c r="C133" s="6" t="s">
        <v>194</v>
      </c>
      <c r="D133" s="6" t="s">
        <v>196</v>
      </c>
      <c r="E133" s="6" t="s">
        <v>38</v>
      </c>
      <c r="F133" s="6" t="s">
        <v>33</v>
      </c>
      <c r="G133" s="6">
        <v>5</v>
      </c>
      <c r="H133" s="8">
        <v>78.349999999999994</v>
      </c>
      <c r="I133" s="9">
        <v>0</v>
      </c>
      <c r="J133" s="8">
        <v>391.77</v>
      </c>
      <c r="K133" s="8">
        <v>249.65</v>
      </c>
      <c r="L133" s="8">
        <v>142.12</v>
      </c>
      <c r="M133" s="10">
        <f ca="1">NOW()</f>
        <v>46307.471562152779</v>
      </c>
    </row>
    <row r="134" spans="1:13">
      <c r="A134" s="6" t="s">
        <v>211</v>
      </c>
      <c r="B134" s="7">
        <v>45528</v>
      </c>
      <c r="C134" s="6" t="s">
        <v>194</v>
      </c>
      <c r="D134" s="6" t="s">
        <v>35</v>
      </c>
      <c r="E134" s="6" t="s">
        <v>17</v>
      </c>
      <c r="F134" s="6" t="s">
        <v>65</v>
      </c>
      <c r="G134" s="6">
        <v>38</v>
      </c>
      <c r="H134" s="8">
        <v>136.69</v>
      </c>
      <c r="I134" s="9">
        <v>0.2</v>
      </c>
      <c r="J134" s="8">
        <v>4155.2299999999996</v>
      </c>
      <c r="K134" s="8">
        <v>2347.0300000000002</v>
      </c>
      <c r="L134" s="8">
        <v>1808.2</v>
      </c>
      <c r="M134" s="10">
        <f ca="1">NOW()</f>
        <v>46307.471562152779</v>
      </c>
    </row>
    <row r="135" spans="1:13">
      <c r="A135" s="6" t="s">
        <v>212</v>
      </c>
      <c r="B135" s="7">
        <v>45528</v>
      </c>
      <c r="C135" s="6" t="s">
        <v>194</v>
      </c>
      <c r="D135" s="6" t="s">
        <v>61</v>
      </c>
      <c r="E135" s="6" t="s">
        <v>38</v>
      </c>
      <c r="F135" s="6" t="s">
        <v>22</v>
      </c>
      <c r="G135" s="6">
        <v>35</v>
      </c>
      <c r="H135" s="8">
        <v>346.4</v>
      </c>
      <c r="I135" s="9">
        <v>0.15</v>
      </c>
      <c r="J135" s="8">
        <v>10305.49</v>
      </c>
      <c r="K135" s="8">
        <v>6046.2</v>
      </c>
      <c r="L135" s="8">
        <v>4259.28</v>
      </c>
      <c r="M135" s="10">
        <f ca="1">NOW()</f>
        <v>46307.471562152779</v>
      </c>
    </row>
    <row r="136" spans="1:13">
      <c r="A136" s="6" t="s">
        <v>213</v>
      </c>
      <c r="B136" s="7">
        <v>45529</v>
      </c>
      <c r="C136" s="6" t="s">
        <v>194</v>
      </c>
      <c r="D136" s="6" t="s">
        <v>125</v>
      </c>
      <c r="E136" s="6" t="s">
        <v>25</v>
      </c>
      <c r="F136" s="6" t="s">
        <v>33</v>
      </c>
      <c r="G136" s="6">
        <v>40</v>
      </c>
      <c r="H136" s="8">
        <v>75.540000000000006</v>
      </c>
      <c r="I136" s="9">
        <v>0</v>
      </c>
      <c r="J136" s="8">
        <v>3021.68</v>
      </c>
      <c r="K136" s="8">
        <v>2045.92</v>
      </c>
      <c r="L136" s="8">
        <v>975.76</v>
      </c>
      <c r="M136" s="10">
        <f ca="1">NOW()</f>
        <v>46307.471562152779</v>
      </c>
    </row>
    <row r="137" spans="1:13">
      <c r="A137" s="6" t="s">
        <v>214</v>
      </c>
      <c r="B137" s="7">
        <v>45535</v>
      </c>
      <c r="C137" s="6" t="s">
        <v>194</v>
      </c>
      <c r="D137" s="6" t="s">
        <v>37</v>
      </c>
      <c r="E137" s="6" t="s">
        <v>17</v>
      </c>
      <c r="F137" s="6" t="s">
        <v>22</v>
      </c>
      <c r="G137" s="6">
        <v>13</v>
      </c>
      <c r="H137" s="8">
        <v>325.31</v>
      </c>
      <c r="I137" s="9">
        <v>0</v>
      </c>
      <c r="J137" s="8">
        <v>4229.09</v>
      </c>
      <c r="K137" s="8">
        <v>2533.09</v>
      </c>
      <c r="L137" s="8">
        <v>1696</v>
      </c>
      <c r="M137" s="10">
        <f ca="1">NOW()</f>
        <v>46307.471562152779</v>
      </c>
    </row>
    <row r="138" spans="1:13">
      <c r="A138" s="6" t="s">
        <v>215</v>
      </c>
      <c r="B138" s="7">
        <v>45535</v>
      </c>
      <c r="C138" s="6" t="s">
        <v>194</v>
      </c>
      <c r="D138" s="6" t="s">
        <v>159</v>
      </c>
      <c r="E138" s="6" t="s">
        <v>71</v>
      </c>
      <c r="F138" s="6" t="s">
        <v>40</v>
      </c>
      <c r="G138" s="6">
        <v>36</v>
      </c>
      <c r="H138" s="8">
        <v>39.57</v>
      </c>
      <c r="I138" s="9">
        <v>0.05</v>
      </c>
      <c r="J138" s="8">
        <v>1353.2</v>
      </c>
      <c r="K138" s="8">
        <v>945.52</v>
      </c>
      <c r="L138" s="8">
        <v>407.68</v>
      </c>
      <c r="M138" s="10">
        <f ca="1">NOW()</f>
        <v>46307.471562152779</v>
      </c>
    </row>
    <row r="139" spans="1:13">
      <c r="A139" s="6" t="s">
        <v>216</v>
      </c>
      <c r="B139" s="7">
        <v>45537</v>
      </c>
      <c r="C139" s="6" t="s">
        <v>217</v>
      </c>
      <c r="D139" s="6" t="s">
        <v>80</v>
      </c>
      <c r="E139" s="6" t="s">
        <v>21</v>
      </c>
      <c r="F139" s="6" t="s">
        <v>65</v>
      </c>
      <c r="G139" s="6">
        <v>30</v>
      </c>
      <c r="H139" s="8">
        <v>154.30000000000001</v>
      </c>
      <c r="I139" s="9">
        <v>0</v>
      </c>
      <c r="J139" s="8">
        <v>4629.01</v>
      </c>
      <c r="K139" s="8">
        <v>2602.27</v>
      </c>
      <c r="L139" s="8">
        <v>2026.74</v>
      </c>
      <c r="M139" s="10">
        <f ca="1">NOW()</f>
        <v>46307.471562152779</v>
      </c>
    </row>
    <row r="140" spans="1:13">
      <c r="A140" s="6" t="s">
        <v>218</v>
      </c>
      <c r="B140" s="7">
        <v>45540</v>
      </c>
      <c r="C140" s="6" t="s">
        <v>217</v>
      </c>
      <c r="D140" s="6" t="s">
        <v>28</v>
      </c>
      <c r="E140" s="6" t="s">
        <v>25</v>
      </c>
      <c r="F140" s="6" t="s">
        <v>29</v>
      </c>
      <c r="G140" s="6">
        <v>22</v>
      </c>
      <c r="H140" s="8">
        <v>1097.01</v>
      </c>
      <c r="I140" s="9">
        <v>0.05</v>
      </c>
      <c r="J140" s="8">
        <v>22927.42</v>
      </c>
      <c r="K140" s="8">
        <v>13887.03</v>
      </c>
      <c r="L140" s="8">
        <v>9040.39</v>
      </c>
      <c r="M140" s="10">
        <f ca="1">NOW()</f>
        <v>46307.471562152779</v>
      </c>
    </row>
    <row r="141" spans="1:13">
      <c r="A141" s="6" t="s">
        <v>219</v>
      </c>
      <c r="B141" s="7">
        <v>45540</v>
      </c>
      <c r="C141" s="6" t="s">
        <v>217</v>
      </c>
      <c r="D141" s="6" t="s">
        <v>44</v>
      </c>
      <c r="E141" s="6" t="s">
        <v>38</v>
      </c>
      <c r="F141" s="6" t="s">
        <v>29</v>
      </c>
      <c r="G141" s="6">
        <v>44</v>
      </c>
      <c r="H141" s="8">
        <v>1099.58</v>
      </c>
      <c r="I141" s="9">
        <v>0.15</v>
      </c>
      <c r="J141" s="8">
        <v>41124.28</v>
      </c>
      <c r="K141" s="8">
        <v>28062.7</v>
      </c>
      <c r="L141" s="8">
        <v>13061.57</v>
      </c>
      <c r="M141" s="10">
        <f ca="1">NOW()</f>
        <v>46307.471562152779</v>
      </c>
    </row>
    <row r="142" spans="1:13">
      <c r="A142" s="6" t="s">
        <v>220</v>
      </c>
      <c r="B142" s="7">
        <v>45544</v>
      </c>
      <c r="C142" s="6" t="s">
        <v>217</v>
      </c>
      <c r="D142" s="6" t="s">
        <v>42</v>
      </c>
      <c r="E142" s="6" t="s">
        <v>17</v>
      </c>
      <c r="F142" s="6" t="s">
        <v>40</v>
      </c>
      <c r="G142" s="6">
        <v>8</v>
      </c>
      <c r="H142" s="8">
        <v>37.119999999999997</v>
      </c>
      <c r="I142" s="9">
        <v>0</v>
      </c>
      <c r="J142" s="8">
        <v>296.95</v>
      </c>
      <c r="K142" s="8">
        <v>181.4</v>
      </c>
      <c r="L142" s="8">
        <v>115.55</v>
      </c>
      <c r="M142" s="10">
        <f ca="1">NOW()</f>
        <v>46307.471562152779</v>
      </c>
    </row>
    <row r="143" spans="1:13">
      <c r="A143" s="6" t="s">
        <v>221</v>
      </c>
      <c r="B143" s="7">
        <v>45546</v>
      </c>
      <c r="C143" s="6" t="s">
        <v>217</v>
      </c>
      <c r="D143" s="6" t="s">
        <v>222</v>
      </c>
      <c r="E143" s="6" t="s">
        <v>25</v>
      </c>
      <c r="F143" s="6" t="s">
        <v>40</v>
      </c>
      <c r="G143" s="6">
        <v>18</v>
      </c>
      <c r="H143" s="8">
        <v>36.06</v>
      </c>
      <c r="I143" s="9">
        <v>0</v>
      </c>
      <c r="J143" s="8">
        <v>649.16999999999996</v>
      </c>
      <c r="K143" s="8">
        <v>475.27</v>
      </c>
      <c r="L143" s="8">
        <v>173.9</v>
      </c>
      <c r="M143" s="10">
        <f ca="1">NOW()</f>
        <v>46307.471562152779</v>
      </c>
    </row>
    <row r="144" spans="1:13">
      <c r="A144" s="6" t="s">
        <v>223</v>
      </c>
      <c r="B144" s="7">
        <v>45547</v>
      </c>
      <c r="C144" s="6" t="s">
        <v>217</v>
      </c>
      <c r="D144" s="6" t="s">
        <v>109</v>
      </c>
      <c r="E144" s="6" t="s">
        <v>25</v>
      </c>
      <c r="F144" s="6" t="s">
        <v>68</v>
      </c>
      <c r="G144" s="6">
        <v>27</v>
      </c>
      <c r="H144" s="8">
        <v>227.71</v>
      </c>
      <c r="I144" s="9">
        <v>0.2</v>
      </c>
      <c r="J144" s="8">
        <v>4918.54</v>
      </c>
      <c r="K144" s="8">
        <v>3061.08</v>
      </c>
      <c r="L144" s="8">
        <v>1857.46</v>
      </c>
      <c r="M144" s="10">
        <f ca="1">NOW()</f>
        <v>46307.471562152779</v>
      </c>
    </row>
    <row r="145" spans="1:13">
      <c r="A145" s="6" t="s">
        <v>224</v>
      </c>
      <c r="B145" s="7">
        <v>45549</v>
      </c>
      <c r="C145" s="6" t="s">
        <v>217</v>
      </c>
      <c r="D145" s="6" t="s">
        <v>148</v>
      </c>
      <c r="E145" s="6" t="s">
        <v>21</v>
      </c>
      <c r="F145" s="6" t="s">
        <v>29</v>
      </c>
      <c r="G145" s="6">
        <v>48</v>
      </c>
      <c r="H145" s="8">
        <v>1155.27</v>
      </c>
      <c r="I145" s="9">
        <v>0</v>
      </c>
      <c r="J145" s="8">
        <v>55452.73</v>
      </c>
      <c r="K145" s="8">
        <v>36977.85</v>
      </c>
      <c r="L145" s="8">
        <v>18474.88</v>
      </c>
      <c r="M145" s="10">
        <f ca="1">NOW()</f>
        <v>46307.471562152779</v>
      </c>
    </row>
    <row r="146" spans="1:13">
      <c r="A146" s="6" t="s">
        <v>225</v>
      </c>
      <c r="B146" s="7">
        <v>45551</v>
      </c>
      <c r="C146" s="6" t="s">
        <v>217</v>
      </c>
      <c r="D146" s="6" t="s">
        <v>109</v>
      </c>
      <c r="E146" s="6" t="s">
        <v>38</v>
      </c>
      <c r="F146" s="6" t="s">
        <v>18</v>
      </c>
      <c r="G146" s="6">
        <v>18</v>
      </c>
      <c r="H146" s="8">
        <v>843.63</v>
      </c>
      <c r="I146" s="9">
        <v>0.15</v>
      </c>
      <c r="J146" s="8">
        <v>12907.51</v>
      </c>
      <c r="K146" s="8">
        <v>7976.52</v>
      </c>
      <c r="L146" s="8">
        <v>4930.99</v>
      </c>
      <c r="M146" s="10">
        <f ca="1">NOW()</f>
        <v>46307.471562152779</v>
      </c>
    </row>
    <row r="147" spans="1:13">
      <c r="A147" s="6" t="s">
        <v>226</v>
      </c>
      <c r="B147" s="7">
        <v>45559</v>
      </c>
      <c r="C147" s="6" t="s">
        <v>217</v>
      </c>
      <c r="D147" s="6" t="s">
        <v>24</v>
      </c>
      <c r="E147" s="6" t="s">
        <v>21</v>
      </c>
      <c r="F147" s="6" t="s">
        <v>40</v>
      </c>
      <c r="G147" s="6">
        <v>39</v>
      </c>
      <c r="H147" s="8">
        <v>40.770000000000003</v>
      </c>
      <c r="I147" s="9">
        <v>0.2</v>
      </c>
      <c r="J147" s="8">
        <v>1271.99</v>
      </c>
      <c r="K147" s="8">
        <v>757.01</v>
      </c>
      <c r="L147" s="8">
        <v>514.98</v>
      </c>
      <c r="M147" s="10">
        <f ca="1">NOW()</f>
        <v>46307.471562152779</v>
      </c>
    </row>
    <row r="148" spans="1:13">
      <c r="A148" s="6" t="s">
        <v>227</v>
      </c>
      <c r="B148" s="7">
        <v>45560</v>
      </c>
      <c r="C148" s="6" t="s">
        <v>217</v>
      </c>
      <c r="D148" s="6" t="s">
        <v>50</v>
      </c>
      <c r="E148" s="6" t="s">
        <v>38</v>
      </c>
      <c r="F148" s="6" t="s">
        <v>22</v>
      </c>
      <c r="G148" s="6">
        <v>14</v>
      </c>
      <c r="H148" s="8">
        <v>366.7</v>
      </c>
      <c r="I148" s="9">
        <v>0.1</v>
      </c>
      <c r="J148" s="8">
        <v>4620.45</v>
      </c>
      <c r="K148" s="8">
        <v>3210.83</v>
      </c>
      <c r="L148" s="8">
        <v>1409.62</v>
      </c>
      <c r="M148" s="10">
        <f ca="1">NOW()</f>
        <v>46307.471562152779</v>
      </c>
    </row>
    <row r="149" spans="1:13">
      <c r="A149" s="6" t="s">
        <v>228</v>
      </c>
      <c r="B149" s="7">
        <v>45562</v>
      </c>
      <c r="C149" s="6" t="s">
        <v>217</v>
      </c>
      <c r="D149" s="6" t="s">
        <v>50</v>
      </c>
      <c r="E149" s="6" t="s">
        <v>21</v>
      </c>
      <c r="F149" s="6" t="s">
        <v>26</v>
      </c>
      <c r="G149" s="6">
        <v>9</v>
      </c>
      <c r="H149" s="8">
        <v>515.98</v>
      </c>
      <c r="I149" s="9">
        <v>0.2</v>
      </c>
      <c r="J149" s="8">
        <v>3715.02</v>
      </c>
      <c r="K149" s="8">
        <v>2165.9499999999998</v>
      </c>
      <c r="L149" s="8">
        <v>1549.07</v>
      </c>
      <c r="M149" s="10">
        <f ca="1">NOW()</f>
        <v>46307.471562152779</v>
      </c>
    </row>
    <row r="150" spans="1:13">
      <c r="A150" s="6" t="s">
        <v>229</v>
      </c>
      <c r="B150" s="7">
        <v>45563</v>
      </c>
      <c r="C150" s="6" t="s">
        <v>217</v>
      </c>
      <c r="D150" s="6" t="s">
        <v>119</v>
      </c>
      <c r="E150" s="6" t="s">
        <v>21</v>
      </c>
      <c r="F150" s="6" t="s">
        <v>22</v>
      </c>
      <c r="G150" s="6">
        <v>10</v>
      </c>
      <c r="H150" s="8">
        <v>341.17</v>
      </c>
      <c r="I150" s="9">
        <v>0.05</v>
      </c>
      <c r="J150" s="8">
        <v>3241.15</v>
      </c>
      <c r="K150" s="8">
        <v>2132.2800000000002</v>
      </c>
      <c r="L150" s="8">
        <v>1108.8800000000001</v>
      </c>
      <c r="M150" s="10">
        <f ca="1">NOW()</f>
        <v>46307.471562152779</v>
      </c>
    </row>
    <row r="151" spans="1:13">
      <c r="A151" s="6" t="s">
        <v>230</v>
      </c>
      <c r="B151" s="7">
        <v>45564</v>
      </c>
      <c r="C151" s="6" t="s">
        <v>217</v>
      </c>
      <c r="D151" s="6" t="s">
        <v>159</v>
      </c>
      <c r="E151" s="6" t="s">
        <v>25</v>
      </c>
      <c r="F151" s="6" t="s">
        <v>29</v>
      </c>
      <c r="G151" s="6">
        <v>32</v>
      </c>
      <c r="H151" s="8">
        <v>1259.28</v>
      </c>
      <c r="I151" s="9">
        <v>0.05</v>
      </c>
      <c r="J151" s="8">
        <v>38282.22</v>
      </c>
      <c r="K151" s="8">
        <v>22044.32</v>
      </c>
      <c r="L151" s="8">
        <v>16237.89</v>
      </c>
      <c r="M151" s="10">
        <f ca="1">NOW()</f>
        <v>46307.471562152779</v>
      </c>
    </row>
    <row r="152" spans="1:13">
      <c r="A152" s="6" t="s">
        <v>231</v>
      </c>
      <c r="B152" s="7">
        <v>45566</v>
      </c>
      <c r="C152" s="6" t="s">
        <v>232</v>
      </c>
      <c r="D152" s="6" t="s">
        <v>90</v>
      </c>
      <c r="E152" s="6" t="s">
        <v>17</v>
      </c>
      <c r="F152" s="6" t="s">
        <v>65</v>
      </c>
      <c r="G152" s="6">
        <v>17</v>
      </c>
      <c r="H152" s="8">
        <v>141.91999999999999</v>
      </c>
      <c r="I152" s="9">
        <v>0.05</v>
      </c>
      <c r="J152" s="8">
        <v>2291.9499999999998</v>
      </c>
      <c r="K152" s="8">
        <v>1405.21</v>
      </c>
      <c r="L152" s="8">
        <v>886.73</v>
      </c>
      <c r="M152" s="10">
        <f ca="1">NOW()</f>
        <v>46307.471562152779</v>
      </c>
    </row>
    <row r="153" spans="1:13">
      <c r="A153" s="6" t="s">
        <v>233</v>
      </c>
      <c r="B153" s="7">
        <v>45567</v>
      </c>
      <c r="C153" s="6" t="s">
        <v>232</v>
      </c>
      <c r="D153" s="6" t="s">
        <v>143</v>
      </c>
      <c r="E153" s="6" t="s">
        <v>17</v>
      </c>
      <c r="F153" s="6" t="s">
        <v>29</v>
      </c>
      <c r="G153" s="6">
        <v>46</v>
      </c>
      <c r="H153" s="8">
        <v>1184.6500000000001</v>
      </c>
      <c r="I153" s="9">
        <v>0.2</v>
      </c>
      <c r="J153" s="8">
        <v>43595.26</v>
      </c>
      <c r="K153" s="8">
        <v>32047.53</v>
      </c>
      <c r="L153" s="8">
        <v>11547.73</v>
      </c>
      <c r="M153" s="10">
        <f ca="1">NOW()</f>
        <v>46307.471562152779</v>
      </c>
    </row>
    <row r="154" spans="1:13">
      <c r="A154" s="6" t="s">
        <v>234</v>
      </c>
      <c r="B154" s="7">
        <v>45567</v>
      </c>
      <c r="C154" s="6" t="s">
        <v>232</v>
      </c>
      <c r="D154" s="6" t="s">
        <v>196</v>
      </c>
      <c r="E154" s="6" t="s">
        <v>38</v>
      </c>
      <c r="F154" s="6" t="s">
        <v>40</v>
      </c>
      <c r="G154" s="6">
        <v>12</v>
      </c>
      <c r="H154" s="8">
        <v>41.87</v>
      </c>
      <c r="I154" s="9">
        <v>0.1</v>
      </c>
      <c r="J154" s="8">
        <v>452.2</v>
      </c>
      <c r="K154" s="8">
        <v>304.41000000000003</v>
      </c>
      <c r="L154" s="8">
        <v>147.79</v>
      </c>
      <c r="M154" s="10">
        <f ca="1">NOW()</f>
        <v>46307.471562152779</v>
      </c>
    </row>
    <row r="155" spans="1:13">
      <c r="A155" s="6" t="s">
        <v>235</v>
      </c>
      <c r="B155" s="7">
        <v>45568</v>
      </c>
      <c r="C155" s="6" t="s">
        <v>232</v>
      </c>
      <c r="D155" s="6" t="s">
        <v>172</v>
      </c>
      <c r="E155" s="6" t="s">
        <v>71</v>
      </c>
      <c r="F155" s="6" t="s">
        <v>18</v>
      </c>
      <c r="G155" s="6">
        <v>46</v>
      </c>
      <c r="H155" s="8">
        <v>765.72</v>
      </c>
      <c r="I155" s="9">
        <v>0.1</v>
      </c>
      <c r="J155" s="8">
        <v>31700.66</v>
      </c>
      <c r="K155" s="8">
        <v>19564.68</v>
      </c>
      <c r="L155" s="8">
        <v>12135.98</v>
      </c>
      <c r="M155" s="10">
        <f ca="1">NOW()</f>
        <v>46307.471562152779</v>
      </c>
    </row>
    <row r="156" spans="1:13">
      <c r="A156" s="6" t="s">
        <v>236</v>
      </c>
      <c r="B156" s="7">
        <v>45570</v>
      </c>
      <c r="C156" s="6" t="s">
        <v>232</v>
      </c>
      <c r="D156" s="6" t="s">
        <v>20</v>
      </c>
      <c r="E156" s="6" t="s">
        <v>38</v>
      </c>
      <c r="F156" s="6" t="s">
        <v>68</v>
      </c>
      <c r="G156" s="6">
        <v>35</v>
      </c>
      <c r="H156" s="8">
        <v>249.22</v>
      </c>
      <c r="I156" s="9">
        <v>0.1</v>
      </c>
      <c r="J156" s="8">
        <v>7850.34</v>
      </c>
      <c r="K156" s="8">
        <v>5184.2299999999996</v>
      </c>
      <c r="L156" s="8">
        <v>2666.1</v>
      </c>
      <c r="M156" s="10">
        <f ca="1">NOW()</f>
        <v>46307.471562152779</v>
      </c>
    </row>
    <row r="157" spans="1:13">
      <c r="A157" s="6" t="s">
        <v>237</v>
      </c>
      <c r="B157" s="7">
        <v>45570</v>
      </c>
      <c r="C157" s="6" t="s">
        <v>232</v>
      </c>
      <c r="D157" s="6" t="s">
        <v>32</v>
      </c>
      <c r="E157" s="6" t="s">
        <v>38</v>
      </c>
      <c r="F157" s="6" t="s">
        <v>65</v>
      </c>
      <c r="G157" s="6">
        <v>41</v>
      </c>
      <c r="H157" s="8">
        <v>152.69</v>
      </c>
      <c r="I157" s="9">
        <v>0.05</v>
      </c>
      <c r="J157" s="8">
        <v>5947.42</v>
      </c>
      <c r="K157" s="8">
        <v>3776.78</v>
      </c>
      <c r="L157" s="8">
        <v>2170.64</v>
      </c>
      <c r="M157" s="10">
        <f ca="1">NOW()</f>
        <v>46307.471562152779</v>
      </c>
    </row>
    <row r="158" spans="1:13">
      <c r="A158" s="6" t="s">
        <v>238</v>
      </c>
      <c r="B158" s="7">
        <v>45572</v>
      </c>
      <c r="C158" s="6" t="s">
        <v>232</v>
      </c>
      <c r="D158" s="6" t="s">
        <v>159</v>
      </c>
      <c r="E158" s="6" t="s">
        <v>21</v>
      </c>
      <c r="F158" s="6" t="s">
        <v>26</v>
      </c>
      <c r="G158" s="6">
        <v>5</v>
      </c>
      <c r="H158" s="8">
        <v>462.62</v>
      </c>
      <c r="I158" s="9">
        <v>0.2</v>
      </c>
      <c r="J158" s="8">
        <v>1850.48</v>
      </c>
      <c r="K158" s="8">
        <v>1252.06</v>
      </c>
      <c r="L158" s="8">
        <v>598.41999999999996</v>
      </c>
      <c r="M158" s="10">
        <f ca="1">NOW()</f>
        <v>46307.471562152779</v>
      </c>
    </row>
    <row r="159" spans="1:13">
      <c r="A159" s="6" t="s">
        <v>239</v>
      </c>
      <c r="B159" s="7">
        <v>45575</v>
      </c>
      <c r="C159" s="6" t="s">
        <v>232</v>
      </c>
      <c r="D159" s="6" t="s">
        <v>24</v>
      </c>
      <c r="E159" s="6" t="s">
        <v>17</v>
      </c>
      <c r="F159" s="6" t="s">
        <v>65</v>
      </c>
      <c r="G159" s="6">
        <v>43</v>
      </c>
      <c r="H159" s="8">
        <v>147.25</v>
      </c>
      <c r="I159" s="9">
        <v>0.15</v>
      </c>
      <c r="J159" s="8">
        <v>5382.05</v>
      </c>
      <c r="K159" s="8">
        <v>3710.61</v>
      </c>
      <c r="L159" s="8">
        <v>1671.44</v>
      </c>
      <c r="M159" s="10">
        <f ca="1">NOW()</f>
        <v>46307.471562152779</v>
      </c>
    </row>
    <row r="160" spans="1:13">
      <c r="A160" s="6" t="s">
        <v>240</v>
      </c>
      <c r="B160" s="7">
        <v>45575</v>
      </c>
      <c r="C160" s="6" t="s">
        <v>232</v>
      </c>
      <c r="D160" s="6" t="s">
        <v>37</v>
      </c>
      <c r="E160" s="6" t="s">
        <v>71</v>
      </c>
      <c r="F160" s="6" t="s">
        <v>18</v>
      </c>
      <c r="G160" s="6">
        <v>25</v>
      </c>
      <c r="H160" s="8">
        <v>781.06</v>
      </c>
      <c r="I160" s="9">
        <v>0.15</v>
      </c>
      <c r="J160" s="8">
        <v>16597.509999999998</v>
      </c>
      <c r="K160" s="8">
        <v>10885.02</v>
      </c>
      <c r="L160" s="8">
        <v>5712.48</v>
      </c>
      <c r="M160" s="10">
        <f ca="1">NOW()</f>
        <v>46307.471562152779</v>
      </c>
    </row>
    <row r="161" spans="1:13">
      <c r="A161" s="6" t="s">
        <v>241</v>
      </c>
      <c r="B161" s="7">
        <v>45577</v>
      </c>
      <c r="C161" s="6" t="s">
        <v>232</v>
      </c>
      <c r="D161" s="6" t="s">
        <v>37</v>
      </c>
      <c r="E161" s="6" t="s">
        <v>21</v>
      </c>
      <c r="F161" s="6" t="s">
        <v>29</v>
      </c>
      <c r="G161" s="6">
        <v>41</v>
      </c>
      <c r="H161" s="8">
        <v>1235.3499999999999</v>
      </c>
      <c r="I161" s="9">
        <v>0</v>
      </c>
      <c r="J161" s="8">
        <v>50649.48</v>
      </c>
      <c r="K161" s="8">
        <v>31196.95</v>
      </c>
      <c r="L161" s="8">
        <v>19452.53</v>
      </c>
      <c r="M161" s="10">
        <f ca="1">NOW()</f>
        <v>46307.471562152779</v>
      </c>
    </row>
    <row r="162" spans="1:13">
      <c r="A162" s="6" t="s">
        <v>242</v>
      </c>
      <c r="B162" s="7">
        <v>45577</v>
      </c>
      <c r="C162" s="6" t="s">
        <v>232</v>
      </c>
      <c r="D162" s="6" t="s">
        <v>115</v>
      </c>
      <c r="E162" s="6" t="s">
        <v>71</v>
      </c>
      <c r="F162" s="6" t="s">
        <v>22</v>
      </c>
      <c r="G162" s="6">
        <v>12</v>
      </c>
      <c r="H162" s="8">
        <v>371.29</v>
      </c>
      <c r="I162" s="9">
        <v>0.2</v>
      </c>
      <c r="J162" s="8">
        <v>3564.36</v>
      </c>
      <c r="K162" s="8">
        <v>2291.56</v>
      </c>
      <c r="L162" s="8">
        <v>1272.8</v>
      </c>
      <c r="M162" s="10">
        <f ca="1">NOW()</f>
        <v>46307.471562152779</v>
      </c>
    </row>
    <row r="163" spans="1:13">
      <c r="A163" s="6" t="s">
        <v>243</v>
      </c>
      <c r="B163" s="7">
        <v>45579</v>
      </c>
      <c r="C163" s="6" t="s">
        <v>232</v>
      </c>
      <c r="D163" s="6" t="s">
        <v>63</v>
      </c>
      <c r="E163" s="6" t="s">
        <v>71</v>
      </c>
      <c r="F163" s="6" t="s">
        <v>40</v>
      </c>
      <c r="G163" s="6">
        <v>42</v>
      </c>
      <c r="H163" s="8">
        <v>39.67</v>
      </c>
      <c r="I163" s="9">
        <v>0.1</v>
      </c>
      <c r="J163" s="8">
        <v>1499.56</v>
      </c>
      <c r="K163" s="8">
        <v>866.63</v>
      </c>
      <c r="L163" s="8">
        <v>632.91999999999996</v>
      </c>
      <c r="M163" s="10">
        <f ca="1">NOW()</f>
        <v>46307.471562152779</v>
      </c>
    </row>
    <row r="164" spans="1:13">
      <c r="A164" s="6" t="s">
        <v>244</v>
      </c>
      <c r="B164" s="7">
        <v>45579</v>
      </c>
      <c r="C164" s="6" t="s">
        <v>232</v>
      </c>
      <c r="D164" s="6" t="s">
        <v>245</v>
      </c>
      <c r="E164" s="6" t="s">
        <v>17</v>
      </c>
      <c r="F164" s="6" t="s">
        <v>18</v>
      </c>
      <c r="G164" s="6">
        <v>49</v>
      </c>
      <c r="H164" s="8">
        <v>764.57</v>
      </c>
      <c r="I164" s="9">
        <v>0.05</v>
      </c>
      <c r="J164" s="8">
        <v>35590.78</v>
      </c>
      <c r="K164" s="8">
        <v>25320.85</v>
      </c>
      <c r="L164" s="8">
        <v>10269.92</v>
      </c>
      <c r="M164" s="10">
        <f ca="1">NOW()</f>
        <v>46307.471562152779</v>
      </c>
    </row>
    <row r="165" spans="1:13">
      <c r="A165" s="6" t="s">
        <v>246</v>
      </c>
      <c r="B165" s="7">
        <v>45581</v>
      </c>
      <c r="C165" s="6" t="s">
        <v>232</v>
      </c>
      <c r="D165" s="6" t="s">
        <v>55</v>
      </c>
      <c r="E165" s="6" t="s">
        <v>38</v>
      </c>
      <c r="F165" s="6" t="s">
        <v>29</v>
      </c>
      <c r="G165" s="6">
        <v>4</v>
      </c>
      <c r="H165" s="8">
        <v>1268.83</v>
      </c>
      <c r="I165" s="9">
        <v>0.05</v>
      </c>
      <c r="J165" s="8">
        <v>4821.5600000000004</v>
      </c>
      <c r="K165" s="8">
        <v>3605.39</v>
      </c>
      <c r="L165" s="8">
        <v>1216.17</v>
      </c>
      <c r="M165" s="10">
        <f ca="1">NOW()</f>
        <v>46307.471562152779</v>
      </c>
    </row>
    <row r="166" spans="1:13">
      <c r="A166" s="6" t="s">
        <v>247</v>
      </c>
      <c r="B166" s="7">
        <v>45584</v>
      </c>
      <c r="C166" s="6" t="s">
        <v>232</v>
      </c>
      <c r="D166" s="6" t="s">
        <v>75</v>
      </c>
      <c r="E166" s="6" t="s">
        <v>21</v>
      </c>
      <c r="F166" s="6" t="s">
        <v>40</v>
      </c>
      <c r="G166" s="6">
        <v>30</v>
      </c>
      <c r="H166" s="8">
        <v>40.64</v>
      </c>
      <c r="I166" s="9">
        <v>0</v>
      </c>
      <c r="J166" s="8">
        <v>1219.28</v>
      </c>
      <c r="K166" s="8">
        <v>780.27</v>
      </c>
      <c r="L166" s="8">
        <v>439.01</v>
      </c>
      <c r="M166" s="10">
        <f ca="1">NOW()</f>
        <v>46307.471562152779</v>
      </c>
    </row>
    <row r="167" spans="1:13">
      <c r="A167" s="6" t="s">
        <v>248</v>
      </c>
      <c r="B167" s="7">
        <v>45587</v>
      </c>
      <c r="C167" s="6" t="s">
        <v>232</v>
      </c>
      <c r="D167" s="6" t="s">
        <v>46</v>
      </c>
      <c r="E167" s="6" t="s">
        <v>17</v>
      </c>
      <c r="F167" s="6" t="s">
        <v>33</v>
      </c>
      <c r="G167" s="6">
        <v>28</v>
      </c>
      <c r="H167" s="8">
        <v>81.7</v>
      </c>
      <c r="I167" s="9">
        <v>0.2</v>
      </c>
      <c r="J167" s="8">
        <v>1830.07</v>
      </c>
      <c r="K167" s="8">
        <v>1048.8599999999999</v>
      </c>
      <c r="L167" s="8">
        <v>781.2</v>
      </c>
      <c r="M167" s="10">
        <f ca="1">NOW()</f>
        <v>46307.471562152779</v>
      </c>
    </row>
    <row r="168" spans="1:13">
      <c r="A168" s="6" t="s">
        <v>249</v>
      </c>
      <c r="B168" s="7">
        <v>45588</v>
      </c>
      <c r="C168" s="6" t="s">
        <v>232</v>
      </c>
      <c r="D168" s="6" t="s">
        <v>50</v>
      </c>
      <c r="E168" s="6" t="s">
        <v>25</v>
      </c>
      <c r="F168" s="6" t="s">
        <v>26</v>
      </c>
      <c r="G168" s="6">
        <v>50</v>
      </c>
      <c r="H168" s="8">
        <v>512.79</v>
      </c>
      <c r="I168" s="9">
        <v>0.15</v>
      </c>
      <c r="J168" s="8">
        <v>21793.78</v>
      </c>
      <c r="K168" s="8">
        <v>15275.03</v>
      </c>
      <c r="L168" s="8">
        <v>6518.76</v>
      </c>
      <c r="M168" s="10">
        <f ca="1">NOW()</f>
        <v>46307.471562152779</v>
      </c>
    </row>
    <row r="169" spans="1:13">
      <c r="A169" s="6" t="s">
        <v>250</v>
      </c>
      <c r="B169" s="7">
        <v>45588</v>
      </c>
      <c r="C169" s="6" t="s">
        <v>232</v>
      </c>
      <c r="D169" s="6" t="s">
        <v>251</v>
      </c>
      <c r="E169" s="6" t="s">
        <v>21</v>
      </c>
      <c r="F169" s="6" t="s">
        <v>68</v>
      </c>
      <c r="G169" s="6">
        <v>10</v>
      </c>
      <c r="H169" s="8">
        <v>234.49</v>
      </c>
      <c r="I169" s="9">
        <v>0.05</v>
      </c>
      <c r="J169" s="8">
        <v>2227.6999999999998</v>
      </c>
      <c r="K169" s="8">
        <v>1656.83</v>
      </c>
      <c r="L169" s="8">
        <v>570.87</v>
      </c>
      <c r="M169" s="10">
        <f ca="1">NOW()</f>
        <v>46307.471562152779</v>
      </c>
    </row>
    <row r="170" spans="1:13">
      <c r="A170" s="6" t="s">
        <v>252</v>
      </c>
      <c r="B170" s="7">
        <v>45596</v>
      </c>
      <c r="C170" s="6" t="s">
        <v>232</v>
      </c>
      <c r="D170" s="6" t="s">
        <v>28</v>
      </c>
      <c r="E170" s="6" t="s">
        <v>38</v>
      </c>
      <c r="F170" s="6" t="s">
        <v>65</v>
      </c>
      <c r="G170" s="6">
        <v>10</v>
      </c>
      <c r="H170" s="8">
        <v>137.13999999999999</v>
      </c>
      <c r="I170" s="9">
        <v>0.05</v>
      </c>
      <c r="J170" s="8">
        <v>1302.8499999999999</v>
      </c>
      <c r="K170" s="8">
        <v>923.1</v>
      </c>
      <c r="L170" s="8">
        <v>379.75</v>
      </c>
      <c r="M170" s="10">
        <f ca="1">NOW()</f>
        <v>46307.471562152779</v>
      </c>
    </row>
    <row r="171" spans="1:13">
      <c r="A171" s="6" t="s">
        <v>253</v>
      </c>
      <c r="B171" s="7">
        <v>45596</v>
      </c>
      <c r="C171" s="6" t="s">
        <v>232</v>
      </c>
      <c r="D171" s="6" t="s">
        <v>37</v>
      </c>
      <c r="E171" s="6" t="s">
        <v>38</v>
      </c>
      <c r="F171" s="6" t="s">
        <v>40</v>
      </c>
      <c r="G171" s="6">
        <v>8</v>
      </c>
      <c r="H171" s="8">
        <v>43.53</v>
      </c>
      <c r="I171" s="9">
        <v>0.2</v>
      </c>
      <c r="J171" s="8">
        <v>278.61</v>
      </c>
      <c r="K171" s="8">
        <v>166.95</v>
      </c>
      <c r="L171" s="8">
        <v>111.65</v>
      </c>
      <c r="M171" s="10">
        <f ca="1">NOW()</f>
        <v>46307.471562152779</v>
      </c>
    </row>
    <row r="172" spans="1:13">
      <c r="A172" s="6" t="s">
        <v>254</v>
      </c>
      <c r="B172" s="7">
        <v>45596</v>
      </c>
      <c r="C172" s="6" t="s">
        <v>232</v>
      </c>
      <c r="D172" s="6" t="s">
        <v>61</v>
      </c>
      <c r="E172" s="6" t="s">
        <v>25</v>
      </c>
      <c r="F172" s="6" t="s">
        <v>68</v>
      </c>
      <c r="G172" s="6">
        <v>9</v>
      </c>
      <c r="H172" s="8">
        <v>265.07</v>
      </c>
      <c r="I172" s="9">
        <v>0.2</v>
      </c>
      <c r="J172" s="8">
        <v>1908.51</v>
      </c>
      <c r="K172" s="8">
        <v>1426.76</v>
      </c>
      <c r="L172" s="8">
        <v>481.75</v>
      </c>
      <c r="M172" s="10">
        <f ca="1">NOW()</f>
        <v>46307.471562152779</v>
      </c>
    </row>
    <row r="173" spans="1:13">
      <c r="A173" s="6" t="s">
        <v>255</v>
      </c>
      <c r="B173" s="7">
        <v>45597</v>
      </c>
      <c r="C173" s="6" t="s">
        <v>256</v>
      </c>
      <c r="D173" s="6" t="s">
        <v>24</v>
      </c>
      <c r="E173" s="6" t="s">
        <v>17</v>
      </c>
      <c r="F173" s="6" t="s">
        <v>26</v>
      </c>
      <c r="G173" s="6">
        <v>38</v>
      </c>
      <c r="H173" s="8">
        <v>546.25</v>
      </c>
      <c r="I173" s="9">
        <v>0.1</v>
      </c>
      <c r="J173" s="8">
        <v>18681.87</v>
      </c>
      <c r="K173" s="8">
        <v>10417.969999999999</v>
      </c>
      <c r="L173" s="8">
        <v>8263.9</v>
      </c>
      <c r="M173" s="10">
        <f ca="1">NOW()</f>
        <v>46307.471562152779</v>
      </c>
    </row>
    <row r="174" spans="1:13">
      <c r="A174" s="6" t="s">
        <v>257</v>
      </c>
      <c r="B174" s="7">
        <v>45598</v>
      </c>
      <c r="C174" s="6" t="s">
        <v>256</v>
      </c>
      <c r="D174" s="6" t="s">
        <v>140</v>
      </c>
      <c r="E174" s="6" t="s">
        <v>71</v>
      </c>
      <c r="F174" s="6" t="s">
        <v>68</v>
      </c>
      <c r="G174" s="6">
        <v>16</v>
      </c>
      <c r="H174" s="8">
        <v>247.84</v>
      </c>
      <c r="I174" s="9">
        <v>0.05</v>
      </c>
      <c r="J174" s="8">
        <v>3767.16</v>
      </c>
      <c r="K174" s="8">
        <v>2360.94</v>
      </c>
      <c r="L174" s="8">
        <v>1406.22</v>
      </c>
      <c r="M174" s="10">
        <f ca="1">NOW()</f>
        <v>46307.471562152779</v>
      </c>
    </row>
    <row r="175" spans="1:13">
      <c r="A175" s="6" t="s">
        <v>258</v>
      </c>
      <c r="B175" s="7">
        <v>45598</v>
      </c>
      <c r="C175" s="6" t="s">
        <v>256</v>
      </c>
      <c r="D175" s="6" t="s">
        <v>24</v>
      </c>
      <c r="E175" s="6" t="s">
        <v>17</v>
      </c>
      <c r="F175" s="6" t="s">
        <v>68</v>
      </c>
      <c r="G175" s="6">
        <v>34</v>
      </c>
      <c r="H175" s="8">
        <v>258.36</v>
      </c>
      <c r="I175" s="9">
        <v>0</v>
      </c>
      <c r="J175" s="8">
        <v>8784.1299999999992</v>
      </c>
      <c r="K175" s="8">
        <v>5218.68</v>
      </c>
      <c r="L175" s="8">
        <v>3565.44</v>
      </c>
      <c r="M175" s="10">
        <f ca="1">NOW()</f>
        <v>46307.471562152779</v>
      </c>
    </row>
    <row r="176" spans="1:13">
      <c r="A176" s="6" t="s">
        <v>259</v>
      </c>
      <c r="B176" s="7">
        <v>45599</v>
      </c>
      <c r="C176" s="6" t="s">
        <v>256</v>
      </c>
      <c r="D176" s="6" t="s">
        <v>32</v>
      </c>
      <c r="E176" s="6" t="s">
        <v>21</v>
      </c>
      <c r="F176" s="6" t="s">
        <v>22</v>
      </c>
      <c r="G176" s="6">
        <v>7</v>
      </c>
      <c r="H176" s="8">
        <v>363.8</v>
      </c>
      <c r="I176" s="9">
        <v>0.1</v>
      </c>
      <c r="J176" s="8">
        <v>2291.96</v>
      </c>
      <c r="K176" s="8">
        <v>1650.35</v>
      </c>
      <c r="L176" s="8">
        <v>641.61</v>
      </c>
      <c r="M176" s="10">
        <f ca="1">NOW()</f>
        <v>46307.471562152779</v>
      </c>
    </row>
    <row r="177" spans="1:13">
      <c r="A177" s="6" t="s">
        <v>260</v>
      </c>
      <c r="B177" s="7">
        <v>45601</v>
      </c>
      <c r="C177" s="6" t="s">
        <v>256</v>
      </c>
      <c r="D177" s="6" t="s">
        <v>95</v>
      </c>
      <c r="E177" s="6" t="s">
        <v>17</v>
      </c>
      <c r="F177" s="6" t="s">
        <v>18</v>
      </c>
      <c r="G177" s="6">
        <v>7</v>
      </c>
      <c r="H177" s="8">
        <v>838.79</v>
      </c>
      <c r="I177" s="9">
        <v>0.05</v>
      </c>
      <c r="J177" s="8">
        <v>5577.93</v>
      </c>
      <c r="K177" s="8">
        <v>3371.69</v>
      </c>
      <c r="L177" s="8">
        <v>2206.2399999999998</v>
      </c>
      <c r="M177" s="10">
        <f ca="1">NOW()</f>
        <v>46307.471562152779</v>
      </c>
    </row>
    <row r="178" spans="1:13">
      <c r="A178" s="6" t="s">
        <v>261</v>
      </c>
      <c r="B178" s="7">
        <v>45601</v>
      </c>
      <c r="C178" s="6" t="s">
        <v>256</v>
      </c>
      <c r="D178" s="6" t="s">
        <v>63</v>
      </c>
      <c r="E178" s="6" t="s">
        <v>17</v>
      </c>
      <c r="F178" s="6" t="s">
        <v>18</v>
      </c>
      <c r="G178" s="6">
        <v>6</v>
      </c>
      <c r="H178" s="8">
        <v>780.79</v>
      </c>
      <c r="I178" s="9">
        <v>0.1</v>
      </c>
      <c r="J178" s="8">
        <v>4216.26</v>
      </c>
      <c r="K178" s="8">
        <v>3033.59</v>
      </c>
      <c r="L178" s="8">
        <v>1182.6600000000001</v>
      </c>
      <c r="M178" s="10">
        <f ca="1">NOW()</f>
        <v>46307.471562152779</v>
      </c>
    </row>
    <row r="179" spans="1:13">
      <c r="A179" s="6" t="s">
        <v>262</v>
      </c>
      <c r="B179" s="7">
        <v>45602</v>
      </c>
      <c r="C179" s="6" t="s">
        <v>256</v>
      </c>
      <c r="D179" s="6" t="s">
        <v>70</v>
      </c>
      <c r="E179" s="6" t="s">
        <v>21</v>
      </c>
      <c r="F179" s="6" t="s">
        <v>29</v>
      </c>
      <c r="G179" s="6">
        <v>20</v>
      </c>
      <c r="H179" s="8">
        <v>1148.8599999999999</v>
      </c>
      <c r="I179" s="9">
        <v>0.15</v>
      </c>
      <c r="J179" s="8">
        <v>19530.61</v>
      </c>
      <c r="K179" s="8">
        <v>13811.1</v>
      </c>
      <c r="L179" s="8">
        <v>5719.5</v>
      </c>
      <c r="M179" s="10">
        <f ca="1">NOW()</f>
        <v>46307.471562152779</v>
      </c>
    </row>
    <row r="180" spans="1:13">
      <c r="A180" s="6" t="s">
        <v>263</v>
      </c>
      <c r="B180" s="7">
        <v>45605</v>
      </c>
      <c r="C180" s="6" t="s">
        <v>256</v>
      </c>
      <c r="D180" s="6" t="s">
        <v>32</v>
      </c>
      <c r="E180" s="6" t="s">
        <v>38</v>
      </c>
      <c r="F180" s="6" t="s">
        <v>33</v>
      </c>
      <c r="G180" s="6">
        <v>19</v>
      </c>
      <c r="H180" s="8">
        <v>74.52</v>
      </c>
      <c r="I180" s="9">
        <v>0.2</v>
      </c>
      <c r="J180" s="8">
        <v>1132.76</v>
      </c>
      <c r="K180" s="8">
        <v>782.41</v>
      </c>
      <c r="L180" s="8">
        <v>350.35</v>
      </c>
      <c r="M180" s="10">
        <f ca="1">NOW()</f>
        <v>46307.471562152779</v>
      </c>
    </row>
    <row r="181" spans="1:13">
      <c r="A181" s="6" t="s">
        <v>264</v>
      </c>
      <c r="B181" s="7">
        <v>45606</v>
      </c>
      <c r="C181" s="6" t="s">
        <v>256</v>
      </c>
      <c r="D181" s="6" t="s">
        <v>125</v>
      </c>
      <c r="E181" s="6" t="s">
        <v>71</v>
      </c>
      <c r="F181" s="6" t="s">
        <v>33</v>
      </c>
      <c r="G181" s="6">
        <v>33</v>
      </c>
      <c r="H181" s="8">
        <v>81.5</v>
      </c>
      <c r="I181" s="9">
        <v>0.15</v>
      </c>
      <c r="J181" s="8">
        <v>2286.04</v>
      </c>
      <c r="K181" s="8">
        <v>1487.68</v>
      </c>
      <c r="L181" s="8">
        <v>798.36</v>
      </c>
      <c r="M181" s="10">
        <f ca="1">NOW()</f>
        <v>46307.471562152779</v>
      </c>
    </row>
    <row r="182" spans="1:13">
      <c r="A182" s="6" t="s">
        <v>265</v>
      </c>
      <c r="B182" s="7">
        <v>45609</v>
      </c>
      <c r="C182" s="6" t="s">
        <v>256</v>
      </c>
      <c r="D182" s="6" t="s">
        <v>87</v>
      </c>
      <c r="E182" s="6" t="s">
        <v>71</v>
      </c>
      <c r="F182" s="6" t="s">
        <v>68</v>
      </c>
      <c r="G182" s="6">
        <v>20</v>
      </c>
      <c r="H182" s="8">
        <v>268.01</v>
      </c>
      <c r="I182" s="9">
        <v>0.15</v>
      </c>
      <c r="J182" s="8">
        <v>4556.1400000000003</v>
      </c>
      <c r="K182" s="8">
        <v>2784.15</v>
      </c>
      <c r="L182" s="8">
        <v>1771.99</v>
      </c>
      <c r="M182" s="10">
        <f ca="1">NOW()</f>
        <v>46307.471562152779</v>
      </c>
    </row>
    <row r="183" spans="1:13">
      <c r="A183" s="6" t="s">
        <v>266</v>
      </c>
      <c r="B183" s="7">
        <v>45612</v>
      </c>
      <c r="C183" s="6" t="s">
        <v>256</v>
      </c>
      <c r="D183" s="6" t="s">
        <v>90</v>
      </c>
      <c r="E183" s="6" t="s">
        <v>25</v>
      </c>
      <c r="F183" s="6" t="s">
        <v>65</v>
      </c>
      <c r="G183" s="6">
        <v>33</v>
      </c>
      <c r="H183" s="8">
        <v>157.86000000000001</v>
      </c>
      <c r="I183" s="9">
        <v>0.2</v>
      </c>
      <c r="J183" s="8">
        <v>4167.47</v>
      </c>
      <c r="K183" s="8">
        <v>3052.78</v>
      </c>
      <c r="L183" s="8">
        <v>1114.69</v>
      </c>
      <c r="M183" s="10">
        <f ca="1">NOW()</f>
        <v>46307.471562152779</v>
      </c>
    </row>
    <row r="184" spans="1:13">
      <c r="A184" s="6" t="s">
        <v>267</v>
      </c>
      <c r="B184" s="7">
        <v>45617</v>
      </c>
      <c r="C184" s="6" t="s">
        <v>256</v>
      </c>
      <c r="D184" s="6" t="s">
        <v>115</v>
      </c>
      <c r="E184" s="6" t="s">
        <v>17</v>
      </c>
      <c r="F184" s="6" t="s">
        <v>18</v>
      </c>
      <c r="G184" s="6">
        <v>15</v>
      </c>
      <c r="H184" s="8">
        <v>858.64</v>
      </c>
      <c r="I184" s="9">
        <v>0.15</v>
      </c>
      <c r="J184" s="8">
        <v>10947.63</v>
      </c>
      <c r="K184" s="8">
        <v>6629.82</v>
      </c>
      <c r="L184" s="8">
        <v>4317.8</v>
      </c>
      <c r="M184" s="10">
        <f ca="1">NOW()</f>
        <v>46307.471562152779</v>
      </c>
    </row>
    <row r="185" spans="1:13">
      <c r="A185" s="6" t="s">
        <v>268</v>
      </c>
      <c r="B185" s="7">
        <v>45618</v>
      </c>
      <c r="C185" s="6" t="s">
        <v>256</v>
      </c>
      <c r="D185" s="6" t="s">
        <v>73</v>
      </c>
      <c r="E185" s="6" t="s">
        <v>25</v>
      </c>
      <c r="F185" s="6" t="s">
        <v>40</v>
      </c>
      <c r="G185" s="6">
        <v>18</v>
      </c>
      <c r="H185" s="8">
        <v>36.35</v>
      </c>
      <c r="I185" s="9">
        <v>0.1</v>
      </c>
      <c r="J185" s="8">
        <v>588.91</v>
      </c>
      <c r="K185" s="8">
        <v>414.73</v>
      </c>
      <c r="L185" s="8">
        <v>174.19</v>
      </c>
      <c r="M185" s="10">
        <f ca="1">NOW()</f>
        <v>46307.471562152779</v>
      </c>
    </row>
    <row r="186" spans="1:13">
      <c r="A186" s="6" t="s">
        <v>269</v>
      </c>
      <c r="B186" s="7">
        <v>45623</v>
      </c>
      <c r="C186" s="6" t="s">
        <v>256</v>
      </c>
      <c r="D186" s="6" t="s">
        <v>24</v>
      </c>
      <c r="E186" s="6" t="s">
        <v>21</v>
      </c>
      <c r="F186" s="6" t="s">
        <v>29</v>
      </c>
      <c r="G186" s="6">
        <v>23</v>
      </c>
      <c r="H186" s="8">
        <v>1207.8599999999999</v>
      </c>
      <c r="I186" s="9">
        <v>0.1</v>
      </c>
      <c r="J186" s="8">
        <v>25002.68</v>
      </c>
      <c r="K186" s="8">
        <v>14096.29</v>
      </c>
      <c r="L186" s="8">
        <v>10906.38</v>
      </c>
      <c r="M186" s="10">
        <f ca="1">NOW()</f>
        <v>46307.471562152779</v>
      </c>
    </row>
    <row r="187" spans="1:13">
      <c r="A187" s="6" t="s">
        <v>270</v>
      </c>
      <c r="B187" s="7">
        <v>45629</v>
      </c>
      <c r="C187" s="6" t="s">
        <v>271</v>
      </c>
      <c r="D187" s="6" t="s">
        <v>172</v>
      </c>
      <c r="E187" s="6" t="s">
        <v>25</v>
      </c>
      <c r="F187" s="6" t="s">
        <v>65</v>
      </c>
      <c r="G187" s="6">
        <v>47</v>
      </c>
      <c r="H187" s="8">
        <v>143.96</v>
      </c>
      <c r="I187" s="9">
        <v>0.2</v>
      </c>
      <c r="J187" s="8">
        <v>5412.77</v>
      </c>
      <c r="K187" s="8">
        <v>3604.82</v>
      </c>
      <c r="L187" s="8">
        <v>1807.95</v>
      </c>
      <c r="M187" s="10">
        <f ca="1">NOW()</f>
        <v>46307.471562152779</v>
      </c>
    </row>
    <row r="188" spans="1:13">
      <c r="A188" s="6" t="s">
        <v>272</v>
      </c>
      <c r="B188" s="7">
        <v>45629</v>
      </c>
      <c r="C188" s="6" t="s">
        <v>271</v>
      </c>
      <c r="D188" s="6" t="s">
        <v>222</v>
      </c>
      <c r="E188" s="6" t="s">
        <v>38</v>
      </c>
      <c r="F188" s="6" t="s">
        <v>33</v>
      </c>
      <c r="G188" s="6">
        <v>15</v>
      </c>
      <c r="H188" s="8">
        <v>82.19</v>
      </c>
      <c r="I188" s="9">
        <v>0.2</v>
      </c>
      <c r="J188" s="8">
        <v>986.23</v>
      </c>
      <c r="K188" s="8">
        <v>591.86</v>
      </c>
      <c r="L188" s="8">
        <v>394.37</v>
      </c>
      <c r="M188" s="10">
        <f ca="1">NOW()</f>
        <v>46307.471562152779</v>
      </c>
    </row>
    <row r="189" spans="1:13">
      <c r="A189" s="6" t="s">
        <v>273</v>
      </c>
      <c r="B189" s="7">
        <v>45631</v>
      </c>
      <c r="C189" s="6" t="s">
        <v>271</v>
      </c>
      <c r="D189" s="6" t="s">
        <v>37</v>
      </c>
      <c r="E189" s="6" t="s">
        <v>38</v>
      </c>
      <c r="F189" s="6" t="s">
        <v>33</v>
      </c>
      <c r="G189" s="6">
        <v>28</v>
      </c>
      <c r="H189" s="8">
        <v>73.12</v>
      </c>
      <c r="I189" s="9">
        <v>0.1</v>
      </c>
      <c r="J189" s="8">
        <v>1842.61</v>
      </c>
      <c r="K189" s="8">
        <v>1243.08</v>
      </c>
      <c r="L189" s="8">
        <v>599.53</v>
      </c>
      <c r="M189" s="10">
        <f ca="1">NOW()</f>
        <v>46307.471562152779</v>
      </c>
    </row>
    <row r="190" spans="1:13">
      <c r="A190" s="6" t="s">
        <v>274</v>
      </c>
      <c r="B190" s="7">
        <v>45631</v>
      </c>
      <c r="C190" s="6" t="s">
        <v>271</v>
      </c>
      <c r="D190" s="6" t="s">
        <v>115</v>
      </c>
      <c r="E190" s="6" t="s">
        <v>71</v>
      </c>
      <c r="F190" s="6" t="s">
        <v>29</v>
      </c>
      <c r="G190" s="6">
        <v>21</v>
      </c>
      <c r="H190" s="8">
        <v>1258.73</v>
      </c>
      <c r="I190" s="9">
        <v>0.15</v>
      </c>
      <c r="J190" s="8">
        <v>22468.32</v>
      </c>
      <c r="K190" s="8">
        <v>14092.48</v>
      </c>
      <c r="L190" s="8">
        <v>8375.83</v>
      </c>
      <c r="M190" s="10">
        <f ca="1">NOW()</f>
        <v>46307.471562152779</v>
      </c>
    </row>
    <row r="191" spans="1:13">
      <c r="A191" s="6" t="s">
        <v>275</v>
      </c>
      <c r="B191" s="7">
        <v>45633</v>
      </c>
      <c r="C191" s="6" t="s">
        <v>271</v>
      </c>
      <c r="D191" s="6" t="s">
        <v>20</v>
      </c>
      <c r="E191" s="6" t="s">
        <v>21</v>
      </c>
      <c r="F191" s="6" t="s">
        <v>26</v>
      </c>
      <c r="G191" s="6">
        <v>15</v>
      </c>
      <c r="H191" s="8">
        <v>496.11</v>
      </c>
      <c r="I191" s="9">
        <v>0.1</v>
      </c>
      <c r="J191" s="8">
        <v>6697.55</v>
      </c>
      <c r="K191" s="8">
        <v>4299.25</v>
      </c>
      <c r="L191" s="8">
        <v>2398.3000000000002</v>
      </c>
      <c r="M191" s="10">
        <f ca="1">NOW()</f>
        <v>46307.471562152779</v>
      </c>
    </row>
    <row r="192" spans="1:13">
      <c r="A192" s="6" t="s">
        <v>276</v>
      </c>
      <c r="B192" s="7">
        <v>45639</v>
      </c>
      <c r="C192" s="6" t="s">
        <v>271</v>
      </c>
      <c r="D192" s="6" t="s">
        <v>20</v>
      </c>
      <c r="E192" s="6" t="s">
        <v>38</v>
      </c>
      <c r="F192" s="6" t="s">
        <v>65</v>
      </c>
      <c r="G192" s="6">
        <v>28</v>
      </c>
      <c r="H192" s="8">
        <v>149.57</v>
      </c>
      <c r="I192" s="9">
        <v>0.15</v>
      </c>
      <c r="J192" s="8">
        <v>3559.75</v>
      </c>
      <c r="K192" s="8">
        <v>2197.17</v>
      </c>
      <c r="L192" s="8">
        <v>1362.58</v>
      </c>
      <c r="M192" s="10">
        <f ca="1">NOW()</f>
        <v>46307.471562152779</v>
      </c>
    </row>
    <row r="193" spans="1:13">
      <c r="A193" s="6" t="s">
        <v>277</v>
      </c>
      <c r="B193" s="7">
        <v>45641</v>
      </c>
      <c r="C193" s="6" t="s">
        <v>271</v>
      </c>
      <c r="D193" s="6" t="s">
        <v>278</v>
      </c>
      <c r="E193" s="6" t="s">
        <v>38</v>
      </c>
      <c r="F193" s="6" t="s">
        <v>33</v>
      </c>
      <c r="G193" s="6">
        <v>23</v>
      </c>
      <c r="H193" s="8">
        <v>75.349999999999994</v>
      </c>
      <c r="I193" s="9">
        <v>0.1</v>
      </c>
      <c r="J193" s="8">
        <v>1559.79</v>
      </c>
      <c r="K193" s="8">
        <v>1076.82</v>
      </c>
      <c r="L193" s="8">
        <v>482.97</v>
      </c>
      <c r="M193" s="10">
        <f ca="1">NOW()</f>
        <v>46307.471562152779</v>
      </c>
    </row>
    <row r="194" spans="1:13">
      <c r="A194" s="6" t="s">
        <v>279</v>
      </c>
      <c r="B194" s="7">
        <v>45642</v>
      </c>
      <c r="C194" s="6" t="s">
        <v>271</v>
      </c>
      <c r="D194" s="6" t="s">
        <v>55</v>
      </c>
      <c r="E194" s="6" t="s">
        <v>17</v>
      </c>
      <c r="F194" s="6" t="s">
        <v>40</v>
      </c>
      <c r="G194" s="6">
        <v>42</v>
      </c>
      <c r="H194" s="8">
        <v>42.33</v>
      </c>
      <c r="I194" s="9">
        <v>0.05</v>
      </c>
      <c r="J194" s="8">
        <v>1689.1</v>
      </c>
      <c r="K194" s="8">
        <v>1155.3800000000001</v>
      </c>
      <c r="L194" s="8">
        <v>533.72</v>
      </c>
      <c r="M194" s="10">
        <f ca="1">NOW()</f>
        <v>46307.471562152779</v>
      </c>
    </row>
    <row r="195" spans="1:13">
      <c r="A195" s="6" t="s">
        <v>280</v>
      </c>
      <c r="B195" s="7">
        <v>45644</v>
      </c>
      <c r="C195" s="6" t="s">
        <v>271</v>
      </c>
      <c r="D195" s="6" t="s">
        <v>92</v>
      </c>
      <c r="E195" s="6" t="s">
        <v>38</v>
      </c>
      <c r="F195" s="6" t="s">
        <v>26</v>
      </c>
      <c r="G195" s="6">
        <v>36</v>
      </c>
      <c r="H195" s="8">
        <v>457.51</v>
      </c>
      <c r="I195" s="9">
        <v>0</v>
      </c>
      <c r="J195" s="8">
        <v>16470.23</v>
      </c>
      <c r="K195" s="8">
        <v>10404.299999999999</v>
      </c>
      <c r="L195" s="8">
        <v>6065.93</v>
      </c>
      <c r="M195" s="10">
        <f ca="1">NOW()</f>
        <v>46307.471562152779</v>
      </c>
    </row>
    <row r="196" spans="1:13">
      <c r="A196" s="6" t="s">
        <v>281</v>
      </c>
      <c r="B196" s="7">
        <v>45648</v>
      </c>
      <c r="C196" s="6" t="s">
        <v>271</v>
      </c>
      <c r="D196" s="6" t="s">
        <v>92</v>
      </c>
      <c r="E196" s="6" t="s">
        <v>71</v>
      </c>
      <c r="F196" s="6" t="s">
        <v>29</v>
      </c>
      <c r="G196" s="6">
        <v>25</v>
      </c>
      <c r="H196" s="8">
        <v>1143.6500000000001</v>
      </c>
      <c r="I196" s="9">
        <v>0.15</v>
      </c>
      <c r="J196" s="8">
        <v>24302.54</v>
      </c>
      <c r="K196" s="8">
        <v>14752.85</v>
      </c>
      <c r="L196" s="8">
        <v>9549.69</v>
      </c>
      <c r="M196" s="10">
        <f ca="1">NOW()</f>
        <v>46307.471562152779</v>
      </c>
    </row>
    <row r="197" spans="1:13">
      <c r="A197" s="6" t="s">
        <v>282</v>
      </c>
      <c r="B197" s="7">
        <v>45648</v>
      </c>
      <c r="C197" s="6" t="s">
        <v>271</v>
      </c>
      <c r="D197" s="6" t="s">
        <v>24</v>
      </c>
      <c r="E197" s="6" t="s">
        <v>25</v>
      </c>
      <c r="F197" s="6" t="s">
        <v>22</v>
      </c>
      <c r="G197" s="6">
        <v>35</v>
      </c>
      <c r="H197" s="8">
        <v>324.5</v>
      </c>
      <c r="I197" s="9">
        <v>0.15</v>
      </c>
      <c r="J197" s="8">
        <v>9653.77</v>
      </c>
      <c r="K197" s="8">
        <v>6025.91</v>
      </c>
      <c r="L197" s="8">
        <v>3627.86</v>
      </c>
      <c r="M197" s="10">
        <f ca="1">NOW()</f>
        <v>46307.471562152779</v>
      </c>
    </row>
    <row r="198" spans="1:13">
      <c r="A198" s="6" t="s">
        <v>283</v>
      </c>
      <c r="B198" s="7">
        <v>45648</v>
      </c>
      <c r="C198" s="6" t="s">
        <v>271</v>
      </c>
      <c r="D198" s="6" t="s">
        <v>75</v>
      </c>
      <c r="E198" s="6" t="s">
        <v>25</v>
      </c>
      <c r="F198" s="6" t="s">
        <v>68</v>
      </c>
      <c r="G198" s="6">
        <v>27</v>
      </c>
      <c r="H198" s="8">
        <v>269.31</v>
      </c>
      <c r="I198" s="9">
        <v>0.2</v>
      </c>
      <c r="J198" s="8">
        <v>5817.03</v>
      </c>
      <c r="K198" s="8">
        <v>3425.57</v>
      </c>
      <c r="L198" s="8">
        <v>2391.46</v>
      </c>
      <c r="M198" s="10">
        <f ca="1">NOW()</f>
        <v>46307.471562152779</v>
      </c>
    </row>
    <row r="199" spans="1:13">
      <c r="A199" s="6" t="s">
        <v>284</v>
      </c>
      <c r="B199" s="7">
        <v>45649</v>
      </c>
      <c r="C199" s="6" t="s">
        <v>271</v>
      </c>
      <c r="D199" s="6" t="s">
        <v>196</v>
      </c>
      <c r="E199" s="6" t="s">
        <v>21</v>
      </c>
      <c r="F199" s="6" t="s">
        <v>26</v>
      </c>
      <c r="G199" s="6">
        <v>18</v>
      </c>
      <c r="H199" s="8">
        <v>454.55</v>
      </c>
      <c r="I199" s="9">
        <v>0</v>
      </c>
      <c r="J199" s="8">
        <v>8181.93</v>
      </c>
      <c r="K199" s="8">
        <v>5405.57</v>
      </c>
      <c r="L199" s="8">
        <v>2776.36</v>
      </c>
      <c r="M199" s="10">
        <f ca="1">NOW()</f>
        <v>46307.471562152779</v>
      </c>
    </row>
    <row r="200" spans="1:13">
      <c r="A200" s="6" t="s">
        <v>285</v>
      </c>
      <c r="B200" s="7">
        <v>45650</v>
      </c>
      <c r="C200" s="6" t="s">
        <v>271</v>
      </c>
      <c r="D200" s="6" t="s">
        <v>125</v>
      </c>
      <c r="E200" s="6" t="s">
        <v>25</v>
      </c>
      <c r="F200" s="6" t="s">
        <v>22</v>
      </c>
      <c r="G200" s="6">
        <v>25</v>
      </c>
      <c r="H200" s="8">
        <v>355.03</v>
      </c>
      <c r="I200" s="9">
        <v>0.2</v>
      </c>
      <c r="J200" s="8">
        <v>7100.69</v>
      </c>
      <c r="K200" s="8">
        <v>4325.5600000000004</v>
      </c>
      <c r="L200" s="8">
        <v>2775.13</v>
      </c>
      <c r="M200" s="10">
        <f ca="1">NOW()</f>
        <v>46307.471562152779</v>
      </c>
    </row>
    <row r="201" spans="1:13">
      <c r="A201" s="6" t="s">
        <v>286</v>
      </c>
      <c r="B201" s="7">
        <v>45651</v>
      </c>
      <c r="C201" s="6" t="s">
        <v>271</v>
      </c>
      <c r="D201" s="6" t="s">
        <v>125</v>
      </c>
      <c r="E201" s="6" t="s">
        <v>21</v>
      </c>
      <c r="F201" s="6" t="s">
        <v>33</v>
      </c>
      <c r="G201" s="6">
        <v>28</v>
      </c>
      <c r="H201" s="8">
        <v>87.95</v>
      </c>
      <c r="I201" s="9">
        <v>0.2</v>
      </c>
      <c r="J201" s="8">
        <v>1969.99</v>
      </c>
      <c r="K201" s="8">
        <v>1213.83</v>
      </c>
      <c r="L201" s="8">
        <v>756.17</v>
      </c>
      <c r="M201" s="10">
        <f ca="1">NOW()</f>
        <v>46307.471562152779</v>
      </c>
    </row>
    <row r="202" spans="1:13">
      <c r="A202" s="6" t="s">
        <v>287</v>
      </c>
      <c r="B202" s="7">
        <v>45654</v>
      </c>
      <c r="C202" s="6" t="s">
        <v>271</v>
      </c>
      <c r="D202" s="6" t="s">
        <v>55</v>
      </c>
      <c r="E202" s="6" t="s">
        <v>21</v>
      </c>
      <c r="F202" s="6" t="s">
        <v>26</v>
      </c>
      <c r="G202" s="6">
        <v>23</v>
      </c>
      <c r="H202" s="8">
        <v>481.02</v>
      </c>
      <c r="I202" s="9">
        <v>0.15</v>
      </c>
      <c r="J202" s="8">
        <v>9404</v>
      </c>
      <c r="K202" s="8">
        <v>5414.73</v>
      </c>
      <c r="L202" s="8">
        <v>3989.27</v>
      </c>
      <c r="M202" s="10">
        <f ca="1">NOW()</f>
        <v>46307.471562152779</v>
      </c>
    </row>
    <row r="203" spans="1:13">
      <c r="A203" s="6" t="s">
        <v>288</v>
      </c>
      <c r="B203" s="7">
        <v>45655</v>
      </c>
      <c r="C203" s="6" t="s">
        <v>271</v>
      </c>
      <c r="D203" s="6" t="s">
        <v>42</v>
      </c>
      <c r="E203" s="6" t="s">
        <v>71</v>
      </c>
      <c r="F203" s="6" t="s">
        <v>18</v>
      </c>
      <c r="G203" s="6">
        <v>2</v>
      </c>
      <c r="H203" s="8">
        <v>875.7</v>
      </c>
      <c r="I203" s="9">
        <v>0.2</v>
      </c>
      <c r="J203" s="8">
        <v>1401.13</v>
      </c>
      <c r="K203" s="8">
        <v>994.61</v>
      </c>
      <c r="L203" s="8">
        <v>406.52</v>
      </c>
      <c r="M203" s="10">
        <f ca="1">NOW()</f>
        <v>46307.471562152779</v>
      </c>
    </row>
  </sheetData>
  <autoFilter ref="A3:M203" xr:uid="{00000000-0009-0000-0000-000001000000}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topLeftCell="A50" workbookViewId="0">
      <selection activeCell="A64" sqref="A64:XFD64"/>
    </sheetView>
  </sheetViews>
  <sheetFormatPr defaultRowHeight="15"/>
  <cols>
    <col min="1" max="1" width="18" customWidth="1"/>
    <col min="2" max="3" width="14" customWidth="1"/>
    <col min="4" max="4" width="12" customWidth="1"/>
    <col min="5" max="5" width="14" customWidth="1"/>
    <col min="6" max="6" width="12" customWidth="1"/>
    <col min="7" max="7" width="8" customWidth="1"/>
    <col min="8" max="8" width="14" customWidth="1"/>
  </cols>
  <sheetData>
    <row r="1" spans="1:8" ht="20.25">
      <c r="A1" s="67" t="s">
        <v>289</v>
      </c>
      <c r="B1" s="66"/>
      <c r="C1" s="66"/>
      <c r="D1" s="66"/>
      <c r="E1" s="66"/>
      <c r="F1" s="66"/>
      <c r="G1" s="66"/>
      <c r="H1" s="66"/>
    </row>
    <row r="3" spans="1:8">
      <c r="A3" s="5" t="s">
        <v>4</v>
      </c>
      <c r="B3" s="5" t="s">
        <v>290</v>
      </c>
      <c r="C3" s="5" t="s">
        <v>291</v>
      </c>
      <c r="D3" s="5" t="s">
        <v>292</v>
      </c>
      <c r="E3" s="5" t="s">
        <v>293</v>
      </c>
      <c r="F3" s="5" t="s">
        <v>294</v>
      </c>
      <c r="G3" s="5" t="s">
        <v>295</v>
      </c>
      <c r="H3" s="5" t="s">
        <v>296</v>
      </c>
    </row>
    <row r="4" spans="1:8">
      <c r="A4" s="6" t="s">
        <v>37</v>
      </c>
      <c r="B4" s="8">
        <v>142694.18</v>
      </c>
      <c r="C4" s="8">
        <v>52286.17</v>
      </c>
      <c r="D4" s="6">
        <v>12</v>
      </c>
      <c r="E4" s="8">
        <v>11891.181666666669</v>
      </c>
      <c r="F4" s="11">
        <v>0.36642118129835433</v>
      </c>
      <c r="G4" s="12">
        <f>RANK(B4,$B$4:$B$53,0)</f>
        <v>1</v>
      </c>
      <c r="H4" s="12" t="str">
        <f>IF(OR(B4&gt;=PERCENTILE($B$4:$B$53,0.8),F4&gt;0.3),"HIGH-VALUE","Standard")</f>
        <v>HIGH-VALUE</v>
      </c>
    </row>
    <row r="5" spans="1:8">
      <c r="A5" s="6" t="s">
        <v>109</v>
      </c>
      <c r="B5" s="8">
        <v>132527.78</v>
      </c>
      <c r="C5" s="8">
        <v>52361.36</v>
      </c>
      <c r="D5" s="6">
        <v>6</v>
      </c>
      <c r="E5" s="8">
        <v>22087.96333333333</v>
      </c>
      <c r="F5" s="11">
        <v>0.39509723923542672</v>
      </c>
      <c r="G5" s="12">
        <f>RANK(B5,$B$4:$B$53,0)</f>
        <v>2</v>
      </c>
      <c r="H5" s="12" t="str">
        <f>IF(OR(B5&gt;=PERCENTILE($B$4:$B$53,0.8),F5&gt;0.3),"HIGH-VALUE","Standard")</f>
        <v>HIGH-VALUE</v>
      </c>
    </row>
    <row r="6" spans="1:8">
      <c r="A6" s="6" t="s">
        <v>50</v>
      </c>
      <c r="B6" s="8">
        <v>125189.71</v>
      </c>
      <c r="C6" s="8">
        <v>42667.53</v>
      </c>
      <c r="D6" s="6">
        <v>6</v>
      </c>
      <c r="E6" s="8">
        <v>20864.951666666671</v>
      </c>
      <c r="F6" s="11">
        <v>0.34082297978004739</v>
      </c>
      <c r="G6" s="12">
        <f>RANK(B6,$B$4:$B$53,0)</f>
        <v>3</v>
      </c>
      <c r="H6" s="12" t="str">
        <f>IF(OR(B6&gt;=PERCENTILE($B$4:$B$53,0.8),F6&gt;0.3),"HIGH-VALUE","Standard")</f>
        <v>HIGH-VALUE</v>
      </c>
    </row>
    <row r="7" spans="1:8">
      <c r="A7" s="6" t="s">
        <v>115</v>
      </c>
      <c r="B7" s="8">
        <v>90275.58</v>
      </c>
      <c r="C7" s="8">
        <v>37088.320000000007</v>
      </c>
      <c r="D7" s="6">
        <v>6</v>
      </c>
      <c r="E7" s="8">
        <v>15045.93</v>
      </c>
      <c r="F7" s="11">
        <v>0.41083446929944961</v>
      </c>
      <c r="G7" s="12">
        <f>RANK(B7,$B$4:$B$53,0)</f>
        <v>4</v>
      </c>
      <c r="H7" s="12" t="str">
        <f>IF(OR(B7&gt;=PERCENTILE($B$4:$B$53,0.8),F7&gt;0.3),"HIGH-VALUE","Standard")</f>
        <v>HIGH-VALUE</v>
      </c>
    </row>
    <row r="8" spans="1:8">
      <c r="A8" s="6" t="s">
        <v>35</v>
      </c>
      <c r="B8" s="8">
        <v>89266.209999999992</v>
      </c>
      <c r="C8" s="8">
        <v>35120.44</v>
      </c>
      <c r="D8" s="6">
        <v>5</v>
      </c>
      <c r="E8" s="8">
        <v>17853.241999999998</v>
      </c>
      <c r="F8" s="11">
        <v>0.39343487306115038</v>
      </c>
      <c r="G8" s="12">
        <f>RANK(B8,$B$4:$B$53,0)</f>
        <v>5</v>
      </c>
      <c r="H8" s="12" t="str">
        <f>IF(OR(B8&gt;=PERCENTILE($B$4:$B$53,0.8),F8&gt;0.3),"HIGH-VALUE","Standard")</f>
        <v>HIGH-VALUE</v>
      </c>
    </row>
    <row r="9" spans="1:8">
      <c r="A9" s="6" t="s">
        <v>92</v>
      </c>
      <c r="B9" s="8">
        <v>81057.56</v>
      </c>
      <c r="C9" s="8">
        <v>25749.200000000001</v>
      </c>
      <c r="D9" s="6">
        <v>3</v>
      </c>
      <c r="E9" s="8">
        <v>27019.186666666661</v>
      </c>
      <c r="F9" s="11">
        <v>0.31766561934506787</v>
      </c>
      <c r="G9" s="12">
        <f>RANK(B9,$B$4:$B$53,0)</f>
        <v>6</v>
      </c>
      <c r="H9" s="12" t="str">
        <f>IF(OR(B9&gt;=PERCENTILE($B$4:$B$53,0.8),F9&gt;0.3),"HIGH-VALUE","Standard")</f>
        <v>HIGH-VALUE</v>
      </c>
    </row>
    <row r="10" spans="1:8">
      <c r="A10" s="6" t="s">
        <v>82</v>
      </c>
      <c r="B10" s="8">
        <v>77084.639999999999</v>
      </c>
      <c r="C10" s="8">
        <v>22579.8</v>
      </c>
      <c r="D10" s="6">
        <v>5</v>
      </c>
      <c r="E10" s="8">
        <v>15416.928</v>
      </c>
      <c r="F10" s="11">
        <v>0.29292216970851781</v>
      </c>
      <c r="G10" s="12">
        <f>RANK(B10,$B$4:$B$53,0)</f>
        <v>7</v>
      </c>
      <c r="H10" s="12" t="str">
        <f>IF(OR(B10&gt;=PERCENTILE($B$4:$B$53,0.8),F10&gt;0.3),"HIGH-VALUE","Standard")</f>
        <v>HIGH-VALUE</v>
      </c>
    </row>
    <row r="11" spans="1:8">
      <c r="A11" s="6" t="s">
        <v>28</v>
      </c>
      <c r="B11" s="8">
        <v>74850.94</v>
      </c>
      <c r="C11" s="8">
        <v>30181.09</v>
      </c>
      <c r="D11" s="6">
        <v>3</v>
      </c>
      <c r="E11" s="8">
        <v>24950.313333333339</v>
      </c>
      <c r="F11" s="11">
        <v>0.40321591151694292</v>
      </c>
      <c r="G11" s="12">
        <f>RANK(B11,$B$4:$B$53,0)</f>
        <v>8</v>
      </c>
      <c r="H11" s="12" t="str">
        <f>IF(OR(B11&gt;=PERCENTILE($B$4:$B$53,0.8),F11&gt;0.3),"HIGH-VALUE","Standard")</f>
        <v>HIGH-VALUE</v>
      </c>
    </row>
    <row r="12" spans="1:8">
      <c r="A12" s="6" t="s">
        <v>24</v>
      </c>
      <c r="B12" s="8">
        <v>69238.02</v>
      </c>
      <c r="C12" s="8">
        <v>28703.33</v>
      </c>
      <c r="D12" s="6">
        <v>7</v>
      </c>
      <c r="E12" s="8">
        <v>9891.1457142857143</v>
      </c>
      <c r="F12" s="11">
        <v>0.41456023728003771</v>
      </c>
      <c r="G12" s="12">
        <f>RANK(B12,$B$4:$B$53,0)</f>
        <v>9</v>
      </c>
      <c r="H12" s="12" t="str">
        <f>IF(OR(B12&gt;=PERCENTILE($B$4:$B$53,0.8),F12&gt;0.3),"HIGH-VALUE","Standard")</f>
        <v>HIGH-VALUE</v>
      </c>
    </row>
    <row r="13" spans="1:8">
      <c r="A13" s="6" t="s">
        <v>104</v>
      </c>
      <c r="B13" s="8">
        <v>64532.480000000003</v>
      </c>
      <c r="C13" s="8">
        <v>23712.7</v>
      </c>
      <c r="D13" s="6">
        <v>4</v>
      </c>
      <c r="E13" s="8">
        <v>16133.12</v>
      </c>
      <c r="F13" s="11">
        <v>0.36745372252856229</v>
      </c>
      <c r="G13" s="12">
        <f>RANK(B13,$B$4:$B$53,0)</f>
        <v>10</v>
      </c>
      <c r="H13" s="12" t="str">
        <f>IF(OR(B13&gt;=PERCENTILE($B$4:$B$53,0.8),F13&gt;0.3),"HIGH-VALUE","Standard")</f>
        <v>HIGH-VALUE</v>
      </c>
    </row>
    <row r="14" spans="1:8">
      <c r="A14" s="6" t="s">
        <v>44</v>
      </c>
      <c r="B14" s="8">
        <v>63658.22</v>
      </c>
      <c r="C14" s="8">
        <v>19951.63</v>
      </c>
      <c r="D14" s="6">
        <v>2</v>
      </c>
      <c r="E14" s="8">
        <v>31829.11</v>
      </c>
      <c r="F14" s="11">
        <v>0.31341796864568322</v>
      </c>
      <c r="G14" s="12">
        <f>RANK(B14,$B$4:$B$53,0)</f>
        <v>11</v>
      </c>
      <c r="H14" s="12" t="str">
        <f>IF(OR(B14&gt;=PERCENTILE($B$4:$B$53,0.8),F14&gt;0.3),"HIGH-VALUE","Standard")</f>
        <v>HIGH-VALUE</v>
      </c>
    </row>
    <row r="15" spans="1:8">
      <c r="A15" s="6" t="s">
        <v>70</v>
      </c>
      <c r="B15" s="8">
        <v>59086.57</v>
      </c>
      <c r="C15" s="8">
        <v>22060.32</v>
      </c>
      <c r="D15" s="6">
        <v>4</v>
      </c>
      <c r="E15" s="8">
        <v>14771.6425</v>
      </c>
      <c r="F15" s="11">
        <v>0.37335590811922242</v>
      </c>
      <c r="G15" s="12">
        <f>RANK(B15,$B$4:$B$53,0)</f>
        <v>12</v>
      </c>
      <c r="H15" s="12" t="str">
        <f>IF(OR(B15&gt;=PERCENTILE($B$4:$B$53,0.8),F15&gt;0.3),"HIGH-VALUE","Standard")</f>
        <v>HIGH-VALUE</v>
      </c>
    </row>
    <row r="16" spans="1:8">
      <c r="A16" s="6" t="s">
        <v>148</v>
      </c>
      <c r="B16" s="8">
        <v>59073.600000000013</v>
      </c>
      <c r="C16" s="8">
        <v>19597.54</v>
      </c>
      <c r="D16" s="6">
        <v>2</v>
      </c>
      <c r="E16" s="8">
        <v>29536.799999999999</v>
      </c>
      <c r="F16" s="11">
        <v>0.33174785352509412</v>
      </c>
      <c r="G16" s="12">
        <f>RANK(B16,$B$4:$B$53,0)</f>
        <v>13</v>
      </c>
      <c r="H16" s="12" t="str">
        <f>IF(OR(B16&gt;=PERCENTILE($B$4:$B$53,0.8),F16&gt;0.3),"HIGH-VALUE","Standard")</f>
        <v>HIGH-VALUE</v>
      </c>
    </row>
    <row r="17" spans="1:8">
      <c r="A17" s="6" t="s">
        <v>172</v>
      </c>
      <c r="B17" s="8">
        <v>57837.59</v>
      </c>
      <c r="C17" s="8">
        <v>22285.93</v>
      </c>
      <c r="D17" s="6">
        <v>5</v>
      </c>
      <c r="E17" s="8">
        <v>11567.518</v>
      </c>
      <c r="F17" s="11">
        <v>0.3853191324188992</v>
      </c>
      <c r="G17" s="12">
        <f>RANK(B17,$B$4:$B$53,0)</f>
        <v>14</v>
      </c>
      <c r="H17" s="12" t="str">
        <f>IF(OR(B17&gt;=PERCENTILE($B$4:$B$53,0.8),F17&gt;0.3),"HIGH-VALUE","Standard")</f>
        <v>HIGH-VALUE</v>
      </c>
    </row>
    <row r="18" spans="1:8">
      <c r="A18" s="6" t="s">
        <v>63</v>
      </c>
      <c r="B18" s="8">
        <v>57546.06</v>
      </c>
      <c r="C18" s="8">
        <v>20082.72</v>
      </c>
      <c r="D18" s="6">
        <v>6</v>
      </c>
      <c r="E18" s="8">
        <v>9591.01</v>
      </c>
      <c r="F18" s="11">
        <v>0.34898514337906023</v>
      </c>
      <c r="G18" s="12">
        <f>RANK(B18,$B$4:$B$53,0)</f>
        <v>15</v>
      </c>
      <c r="H18" s="12" t="str">
        <f>IF(OR(B18&gt;=PERCENTILE($B$4:$B$53,0.8),F18&gt;0.3),"HIGH-VALUE","Standard")</f>
        <v>HIGH-VALUE</v>
      </c>
    </row>
    <row r="19" spans="1:8">
      <c r="A19" s="6" t="s">
        <v>87</v>
      </c>
      <c r="B19" s="8">
        <v>56970.63</v>
      </c>
      <c r="C19" s="8">
        <v>25068.62</v>
      </c>
      <c r="D19" s="6">
        <v>4</v>
      </c>
      <c r="E19" s="8">
        <v>14242.657499999999</v>
      </c>
      <c r="F19" s="11">
        <v>0.44002708062031259</v>
      </c>
      <c r="G19" s="12">
        <f>RANK(B19,$B$4:$B$53,0)</f>
        <v>16</v>
      </c>
      <c r="H19" s="12" t="str">
        <f>IF(OR(B19&gt;=PERCENTILE($B$4:$B$53,0.8),F19&gt;0.3),"HIGH-VALUE","Standard")</f>
        <v>HIGH-VALUE</v>
      </c>
    </row>
    <row r="20" spans="1:8">
      <c r="A20" s="6" t="s">
        <v>77</v>
      </c>
      <c r="B20" s="8">
        <v>55112.07</v>
      </c>
      <c r="C20" s="8">
        <v>18886.86</v>
      </c>
      <c r="D20" s="6">
        <v>5</v>
      </c>
      <c r="E20" s="8">
        <v>11022.414000000001</v>
      </c>
      <c r="F20" s="11">
        <v>0.34269915827875819</v>
      </c>
      <c r="G20" s="12">
        <f>RANK(B20,$B$4:$B$53,0)</f>
        <v>17</v>
      </c>
      <c r="H20" s="12" t="str">
        <f>IF(OR(B20&gt;=PERCENTILE($B$4:$B$53,0.8),F20&gt;0.3),"HIGH-VALUE","Standard")</f>
        <v>HIGH-VALUE</v>
      </c>
    </row>
    <row r="21" spans="1:8">
      <c r="A21" s="6" t="s">
        <v>119</v>
      </c>
      <c r="B21" s="8">
        <v>49825.48</v>
      </c>
      <c r="C21" s="8">
        <v>16946.310000000001</v>
      </c>
      <c r="D21" s="6">
        <v>4</v>
      </c>
      <c r="E21" s="8">
        <v>12456.37</v>
      </c>
      <c r="F21" s="11">
        <v>0.34011333157252072</v>
      </c>
      <c r="G21" s="12">
        <f>RANK(B21,$B$4:$B$53,0)</f>
        <v>18</v>
      </c>
      <c r="H21" s="12" t="str">
        <f>IF(OR(B21&gt;=PERCENTILE($B$4:$B$53,0.8),F21&gt;0.3),"HIGH-VALUE","Standard")</f>
        <v>HIGH-VALUE</v>
      </c>
    </row>
    <row r="22" spans="1:8">
      <c r="A22" s="6" t="s">
        <v>95</v>
      </c>
      <c r="B22" s="8">
        <v>47857.440000000002</v>
      </c>
      <c r="C22" s="8">
        <v>18322.34</v>
      </c>
      <c r="D22" s="6">
        <v>4</v>
      </c>
      <c r="E22" s="8">
        <v>11964.36</v>
      </c>
      <c r="F22" s="11">
        <v>0.38285248855768289</v>
      </c>
      <c r="G22" s="12">
        <f>RANK(B22,$B$4:$B$53,0)</f>
        <v>19</v>
      </c>
      <c r="H22" s="12" t="str">
        <f>IF(OR(B22&gt;=PERCENTILE($B$4:$B$53,0.8),F22&gt;0.3),"HIGH-VALUE","Standard")</f>
        <v>HIGH-VALUE</v>
      </c>
    </row>
    <row r="23" spans="1:8">
      <c r="A23" s="6" t="s">
        <v>48</v>
      </c>
      <c r="B23" s="8">
        <v>46089.77</v>
      </c>
      <c r="C23" s="8">
        <v>17322.849999999999</v>
      </c>
      <c r="D23" s="6">
        <v>7</v>
      </c>
      <c r="E23" s="8">
        <v>6584.2528571428566</v>
      </c>
      <c r="F23" s="11">
        <v>0.37585021578541178</v>
      </c>
      <c r="G23" s="12">
        <f>RANK(B23,$B$4:$B$53,0)</f>
        <v>20</v>
      </c>
      <c r="H23" s="12" t="str">
        <f>IF(OR(B23&gt;=PERCENTILE($B$4:$B$53,0.8),F23&gt;0.3),"HIGH-VALUE","Standard")</f>
        <v>HIGH-VALUE</v>
      </c>
    </row>
    <row r="24" spans="1:8">
      <c r="A24" s="6" t="s">
        <v>143</v>
      </c>
      <c r="B24" s="8">
        <v>46044.14</v>
      </c>
      <c r="C24" s="8">
        <v>12242.98</v>
      </c>
      <c r="D24" s="6">
        <v>2</v>
      </c>
      <c r="E24" s="8">
        <v>23022.07</v>
      </c>
      <c r="F24" s="11">
        <v>0.26589659400740251</v>
      </c>
      <c r="G24" s="12">
        <f>RANK(B24,$B$4:$B$53,0)</f>
        <v>21</v>
      </c>
      <c r="H24" s="12" t="str">
        <f>IF(OR(B24&gt;=PERCENTILE($B$4:$B$53,0.8),F24&gt;0.3),"HIGH-VALUE","Standard")</f>
        <v>Standard</v>
      </c>
    </row>
    <row r="25" spans="1:8">
      <c r="A25" s="6" t="s">
        <v>159</v>
      </c>
      <c r="B25" s="8">
        <v>45246.680000000008</v>
      </c>
      <c r="C25" s="8">
        <v>18681.189999999999</v>
      </c>
      <c r="D25" s="6">
        <v>5</v>
      </c>
      <c r="E25" s="8">
        <v>9049.3360000000011</v>
      </c>
      <c r="F25" s="11">
        <v>0.41287427055421522</v>
      </c>
      <c r="G25" s="12">
        <f>RANK(B25,$B$4:$B$53,0)</f>
        <v>22</v>
      </c>
      <c r="H25" s="12" t="str">
        <f>IF(OR(B25&gt;=PERCENTILE($B$4:$B$53,0.8),F25&gt;0.3),"HIGH-VALUE","Standard")</f>
        <v>HIGH-VALUE</v>
      </c>
    </row>
    <row r="26" spans="1:8">
      <c r="A26" s="6" t="s">
        <v>73</v>
      </c>
      <c r="B26" s="8">
        <v>43607.19</v>
      </c>
      <c r="C26" s="8">
        <v>16521.580000000002</v>
      </c>
      <c r="D26" s="6">
        <v>4</v>
      </c>
      <c r="E26" s="8">
        <v>10901.797500000001</v>
      </c>
      <c r="F26" s="11">
        <v>0.37887284184099002</v>
      </c>
      <c r="G26" s="12">
        <f>RANK(B26,$B$4:$B$53,0)</f>
        <v>23</v>
      </c>
      <c r="H26" s="12" t="str">
        <f>IF(OR(B26&gt;=PERCENTILE($B$4:$B$53,0.8),F26&gt;0.3),"HIGH-VALUE","Standard")</f>
        <v>HIGH-VALUE</v>
      </c>
    </row>
    <row r="27" spans="1:8">
      <c r="A27" s="6" t="s">
        <v>170</v>
      </c>
      <c r="B27" s="8">
        <v>39820.58</v>
      </c>
      <c r="C27" s="8">
        <v>15228.78</v>
      </c>
      <c r="D27" s="6">
        <v>3</v>
      </c>
      <c r="E27" s="8">
        <v>13273.52666666667</v>
      </c>
      <c r="F27" s="11">
        <v>0.38243491179686478</v>
      </c>
      <c r="G27" s="12">
        <f>RANK(B27,$B$4:$B$53,0)</f>
        <v>24</v>
      </c>
      <c r="H27" s="12" t="str">
        <f>IF(OR(B27&gt;=PERCENTILE($B$4:$B$53,0.8),F27&gt;0.3),"HIGH-VALUE","Standard")</f>
        <v>HIGH-VALUE</v>
      </c>
    </row>
    <row r="28" spans="1:8">
      <c r="A28" s="6" t="s">
        <v>59</v>
      </c>
      <c r="B28" s="8">
        <v>35615.93</v>
      </c>
      <c r="C28" s="8">
        <v>15483.55</v>
      </c>
      <c r="D28" s="6">
        <v>2</v>
      </c>
      <c r="E28" s="8">
        <v>17807.965</v>
      </c>
      <c r="F28" s="11">
        <v>0.434736647337301</v>
      </c>
      <c r="G28" s="12">
        <f>RANK(B28,$B$4:$B$53,0)</f>
        <v>25</v>
      </c>
      <c r="H28" s="12" t="str">
        <f>IF(OR(B28&gt;=PERCENTILE($B$4:$B$53,0.8),F28&gt;0.3),"HIGH-VALUE","Standard")</f>
        <v>HIGH-VALUE</v>
      </c>
    </row>
    <row r="29" spans="1:8">
      <c r="A29" s="6" t="s">
        <v>245</v>
      </c>
      <c r="B29" s="8">
        <v>35590.78</v>
      </c>
      <c r="C29" s="8">
        <v>10269.92</v>
      </c>
      <c r="D29" s="6">
        <v>1</v>
      </c>
      <c r="E29" s="8">
        <v>35590.78</v>
      </c>
      <c r="F29" s="11">
        <v>0.28855563154277603</v>
      </c>
      <c r="G29" s="12">
        <f>RANK(B29,$B$4:$B$53,0)</f>
        <v>26</v>
      </c>
      <c r="H29" s="12" t="str">
        <f>IF(OR(B29&gt;=PERCENTILE($B$4:$B$53,0.8),F29&gt;0.3),"HIGH-VALUE","Standard")</f>
        <v>Standard</v>
      </c>
    </row>
    <row r="30" spans="1:8">
      <c r="A30" s="6" t="s">
        <v>55</v>
      </c>
      <c r="B30" s="8">
        <v>34737.440000000002</v>
      </c>
      <c r="C30" s="8">
        <v>11686.85</v>
      </c>
      <c r="D30" s="6">
        <v>6</v>
      </c>
      <c r="E30" s="8">
        <v>5789.5733333333337</v>
      </c>
      <c r="F30" s="11">
        <v>0.33643383047225123</v>
      </c>
      <c r="G30" s="12">
        <f>RANK(B30,$B$4:$B$53,0)</f>
        <v>27</v>
      </c>
      <c r="H30" s="12" t="str">
        <f>IF(OR(B30&gt;=PERCENTILE($B$4:$B$53,0.8),F30&gt;0.3),"HIGH-VALUE","Standard")</f>
        <v>HIGH-VALUE</v>
      </c>
    </row>
    <row r="31" spans="1:8">
      <c r="A31" s="6" t="s">
        <v>61</v>
      </c>
      <c r="B31" s="8">
        <v>34063.440000000002</v>
      </c>
      <c r="C31" s="8">
        <v>11233.94</v>
      </c>
      <c r="D31" s="6">
        <v>5</v>
      </c>
      <c r="E31" s="8">
        <v>6812.6880000000001</v>
      </c>
      <c r="F31" s="11">
        <v>0.32979464199740238</v>
      </c>
      <c r="G31" s="12">
        <f>RANK(B31,$B$4:$B$53,0)</f>
        <v>28</v>
      </c>
      <c r="H31" s="12" t="str">
        <f>IF(OR(B31&gt;=PERCENTILE($B$4:$B$53,0.8),F31&gt;0.3),"HIGH-VALUE","Standard")</f>
        <v>HIGH-VALUE</v>
      </c>
    </row>
    <row r="32" spans="1:8">
      <c r="A32" s="6" t="s">
        <v>80</v>
      </c>
      <c r="B32" s="8">
        <v>31988.74</v>
      </c>
      <c r="C32" s="8">
        <v>10843.52</v>
      </c>
      <c r="D32" s="6">
        <v>3</v>
      </c>
      <c r="E32" s="8">
        <v>10662.91333333333</v>
      </c>
      <c r="F32" s="11">
        <v>0.33897927833356373</v>
      </c>
      <c r="G32" s="12">
        <f>RANK(B32,$B$4:$B$53,0)</f>
        <v>29</v>
      </c>
      <c r="H32" s="12" t="str">
        <f>IF(OR(B32&gt;=PERCENTILE($B$4:$B$53,0.8),F32&gt;0.3),"HIGH-VALUE","Standard")</f>
        <v>HIGH-VALUE</v>
      </c>
    </row>
    <row r="33" spans="1:8">
      <c r="A33" s="6" t="s">
        <v>20</v>
      </c>
      <c r="B33" s="8">
        <v>31431.13</v>
      </c>
      <c r="C33" s="8">
        <v>11228.3</v>
      </c>
      <c r="D33" s="6">
        <v>4</v>
      </c>
      <c r="E33" s="8">
        <v>7857.7825000000003</v>
      </c>
      <c r="F33" s="11">
        <v>0.35723500873178909</v>
      </c>
      <c r="G33" s="12">
        <f>RANK(B33,$B$4:$B$53,0)</f>
        <v>30</v>
      </c>
      <c r="H33" s="12" t="str">
        <f>IF(OR(B33&gt;=PERCENTILE($B$4:$B$53,0.8),F33&gt;0.3),"HIGH-VALUE","Standard")</f>
        <v>HIGH-VALUE</v>
      </c>
    </row>
    <row r="34" spans="1:8">
      <c r="A34" s="6" t="s">
        <v>42</v>
      </c>
      <c r="B34" s="8">
        <v>31084.9</v>
      </c>
      <c r="C34" s="8">
        <v>11177.11</v>
      </c>
      <c r="D34" s="6">
        <v>4</v>
      </c>
      <c r="E34" s="8">
        <v>7771.2250000000004</v>
      </c>
      <c r="F34" s="11">
        <v>0.35956718535366039</v>
      </c>
      <c r="G34" s="12">
        <f>RANK(B34,$B$4:$B$53,0)</f>
        <v>31</v>
      </c>
      <c r="H34" s="12" t="str">
        <f>IF(OR(B34&gt;=PERCENTILE($B$4:$B$53,0.8),F34&gt;0.3),"HIGH-VALUE","Standard")</f>
        <v>HIGH-VALUE</v>
      </c>
    </row>
    <row r="35" spans="1:8">
      <c r="A35" s="6" t="s">
        <v>90</v>
      </c>
      <c r="B35" s="8">
        <v>30835.94</v>
      </c>
      <c r="C35" s="8">
        <v>10678.02</v>
      </c>
      <c r="D35" s="6">
        <v>6</v>
      </c>
      <c r="E35" s="8">
        <v>5139.3233333333337</v>
      </c>
      <c r="F35" s="11">
        <v>0.34628488705062987</v>
      </c>
      <c r="G35" s="12">
        <f>RANK(B35,$B$4:$B$53,0)</f>
        <v>32</v>
      </c>
      <c r="H35" s="12" t="str">
        <f>IF(OR(B35&gt;=PERCENTILE($B$4:$B$53,0.8),F35&gt;0.3),"HIGH-VALUE","Standard")</f>
        <v>HIGH-VALUE</v>
      </c>
    </row>
    <row r="36" spans="1:8">
      <c r="A36" s="6" t="s">
        <v>52</v>
      </c>
      <c r="B36" s="8">
        <v>30412.13</v>
      </c>
      <c r="C36" s="8">
        <v>11593.22</v>
      </c>
      <c r="D36" s="6">
        <v>2</v>
      </c>
      <c r="E36" s="8">
        <v>15206.065000000001</v>
      </c>
      <c r="F36" s="11">
        <v>0.38120381571432188</v>
      </c>
      <c r="G36" s="12">
        <f>RANK(B36,$B$4:$B$53,0)</f>
        <v>33</v>
      </c>
      <c r="H36" s="12" t="str">
        <f>IF(OR(B36&gt;=PERCENTILE($B$4:$B$53,0.8),F36&gt;0.3),"HIGH-VALUE","Standard")</f>
        <v>HIGH-VALUE</v>
      </c>
    </row>
    <row r="37" spans="1:8">
      <c r="A37" s="6" t="s">
        <v>140</v>
      </c>
      <c r="B37" s="8">
        <v>30220.2</v>
      </c>
      <c r="C37" s="8">
        <v>9459.1</v>
      </c>
      <c r="D37" s="6">
        <v>4</v>
      </c>
      <c r="E37" s="8">
        <v>7555.05</v>
      </c>
      <c r="F37" s="11">
        <v>0.31300587024572968</v>
      </c>
      <c r="G37" s="12">
        <f>RANK(B37,$B$4:$B$53,0)</f>
        <v>34</v>
      </c>
      <c r="H37" s="12" t="str">
        <f>IF(OR(B37&gt;=PERCENTILE($B$4:$B$53,0.8),F37&gt;0.3),"HIGH-VALUE","Standard")</f>
        <v>HIGH-VALUE</v>
      </c>
    </row>
    <row r="38" spans="1:8">
      <c r="A38" s="6" t="s">
        <v>16</v>
      </c>
      <c r="B38" s="8">
        <v>28901.41</v>
      </c>
      <c r="C38" s="8">
        <v>10167.34</v>
      </c>
      <c r="D38" s="6">
        <v>6</v>
      </c>
      <c r="E38" s="8">
        <v>4816.9016666666666</v>
      </c>
      <c r="F38" s="11">
        <v>0.35179390901689572</v>
      </c>
      <c r="G38" s="12">
        <f>RANK(B38,$B$4:$B$53,0)</f>
        <v>35</v>
      </c>
      <c r="H38" s="12" t="str">
        <f>IF(OR(B38&gt;=PERCENTILE($B$4:$B$53,0.8),F38&gt;0.3),"HIGH-VALUE","Standard")</f>
        <v>HIGH-VALUE</v>
      </c>
    </row>
    <row r="39" spans="1:8">
      <c r="A39" s="6" t="s">
        <v>75</v>
      </c>
      <c r="B39" s="8">
        <v>23560.95</v>
      </c>
      <c r="C39" s="8">
        <v>7241.77</v>
      </c>
      <c r="D39" s="6">
        <v>4</v>
      </c>
      <c r="E39" s="8">
        <v>5890.2374999999993</v>
      </c>
      <c r="F39" s="11">
        <v>0.30736324299317302</v>
      </c>
      <c r="G39" s="12">
        <f>RANK(B39,$B$4:$B$53,0)</f>
        <v>36</v>
      </c>
      <c r="H39" s="12" t="str">
        <f>IF(OR(B39&gt;=PERCENTILE($B$4:$B$53,0.8),F39&gt;0.3),"HIGH-VALUE","Standard")</f>
        <v>HIGH-VALUE</v>
      </c>
    </row>
    <row r="40" spans="1:8">
      <c r="A40" s="6" t="s">
        <v>32</v>
      </c>
      <c r="B40" s="8">
        <v>23349.98</v>
      </c>
      <c r="C40" s="8">
        <v>8289.2999999999993</v>
      </c>
      <c r="D40" s="6">
        <v>7</v>
      </c>
      <c r="E40" s="8">
        <v>3335.7114285714279</v>
      </c>
      <c r="F40" s="11">
        <v>0.35500244539824022</v>
      </c>
      <c r="G40" s="12">
        <f>RANK(B40,$B$4:$B$53,0)</f>
        <v>37</v>
      </c>
      <c r="H40" s="12" t="str">
        <f>IF(OR(B40&gt;=PERCENTILE($B$4:$B$53,0.8),F40&gt;0.3),"HIGH-VALUE","Standard")</f>
        <v>HIGH-VALUE</v>
      </c>
    </row>
    <row r="41" spans="1:8">
      <c r="A41" s="6" t="s">
        <v>46</v>
      </c>
      <c r="B41" s="8">
        <v>21316.81</v>
      </c>
      <c r="C41" s="8">
        <v>6029.27</v>
      </c>
      <c r="D41" s="6">
        <v>2</v>
      </c>
      <c r="E41" s="8">
        <v>10658.405000000001</v>
      </c>
      <c r="F41" s="11">
        <v>0.28284110052113798</v>
      </c>
      <c r="G41" s="12">
        <f>RANK(B41,$B$4:$B$53,0)</f>
        <v>38</v>
      </c>
      <c r="H41" s="12" t="str">
        <f>IF(OR(B41&gt;=PERCENTILE($B$4:$B$53,0.8),F41&gt;0.3),"HIGH-VALUE","Standard")</f>
        <v>Standard</v>
      </c>
    </row>
    <row r="42" spans="1:8">
      <c r="A42" s="6" t="s">
        <v>107</v>
      </c>
      <c r="B42" s="8">
        <v>19679.61</v>
      </c>
      <c r="C42" s="8">
        <v>7277.6399999999994</v>
      </c>
      <c r="D42" s="6">
        <v>4</v>
      </c>
      <c r="E42" s="8">
        <v>4919.9025000000001</v>
      </c>
      <c r="F42" s="11">
        <v>0.36980610896252508</v>
      </c>
      <c r="G42" s="12">
        <f>RANK(B42,$B$4:$B$53,0)</f>
        <v>39</v>
      </c>
      <c r="H42" s="12" t="str">
        <f>IF(OR(B42&gt;=PERCENTILE($B$4:$B$53,0.8),F42&gt;0.3),"HIGH-VALUE","Standard")</f>
        <v>HIGH-VALUE</v>
      </c>
    </row>
    <row r="43" spans="1:8">
      <c r="A43" s="6" t="s">
        <v>125</v>
      </c>
      <c r="B43" s="8">
        <v>16928.97</v>
      </c>
      <c r="C43" s="8">
        <v>6299.6</v>
      </c>
      <c r="D43" s="6">
        <v>6</v>
      </c>
      <c r="E43" s="8">
        <v>2821.4949999999999</v>
      </c>
      <c r="F43" s="11">
        <v>0.37211950874743122</v>
      </c>
      <c r="G43" s="12">
        <f>RANK(B43,$B$4:$B$53,0)</f>
        <v>40</v>
      </c>
      <c r="H43" s="12" t="str">
        <f>IF(OR(B43&gt;=PERCENTILE($B$4:$B$53,0.8),F43&gt;0.3),"HIGH-VALUE","Standard")</f>
        <v>HIGH-VALUE</v>
      </c>
    </row>
    <row r="44" spans="1:8">
      <c r="A44" s="6" t="s">
        <v>67</v>
      </c>
      <c r="B44" s="8">
        <v>14375.59</v>
      </c>
      <c r="C44" s="8">
        <v>6346.1</v>
      </c>
      <c r="D44" s="6">
        <v>2</v>
      </c>
      <c r="E44" s="8">
        <v>7187.7950000000001</v>
      </c>
      <c r="F44" s="11">
        <v>0.44144970745548529</v>
      </c>
      <c r="G44" s="12">
        <f>RANK(B44,$B$4:$B$53,0)</f>
        <v>41</v>
      </c>
      <c r="H44" s="12" t="str">
        <f>IF(OR(B44&gt;=PERCENTILE($B$4:$B$53,0.8),F44&gt;0.3),"HIGH-VALUE","Standard")</f>
        <v>HIGH-VALUE</v>
      </c>
    </row>
    <row r="45" spans="1:8">
      <c r="A45" s="6" t="s">
        <v>57</v>
      </c>
      <c r="B45" s="8">
        <v>13348.79</v>
      </c>
      <c r="C45" s="8">
        <v>5457.18</v>
      </c>
      <c r="D45" s="6">
        <v>2</v>
      </c>
      <c r="E45" s="8">
        <v>6674.3950000000004</v>
      </c>
      <c r="F45" s="11">
        <v>0.40881458169616869</v>
      </c>
      <c r="G45" s="12">
        <f>RANK(B45,$B$4:$B$53,0)</f>
        <v>42</v>
      </c>
      <c r="H45" s="12" t="str">
        <f>IF(OR(B45&gt;=PERCENTILE($B$4:$B$53,0.8),F45&gt;0.3),"HIGH-VALUE","Standard")</f>
        <v>HIGH-VALUE</v>
      </c>
    </row>
    <row r="46" spans="1:8">
      <c r="A46" s="6" t="s">
        <v>98</v>
      </c>
      <c r="B46" s="8">
        <v>13245.5</v>
      </c>
      <c r="C46" s="8">
        <v>4221.54</v>
      </c>
      <c r="D46" s="6">
        <v>2</v>
      </c>
      <c r="E46" s="8">
        <v>6622.75</v>
      </c>
      <c r="F46" s="11">
        <v>0.31871503529500578</v>
      </c>
      <c r="G46" s="12">
        <f>RANK(B46,$B$4:$B$53,0)</f>
        <v>43</v>
      </c>
      <c r="H46" s="12" t="str">
        <f>IF(OR(B46&gt;=PERCENTILE($B$4:$B$53,0.8),F46&gt;0.3),"HIGH-VALUE","Standard")</f>
        <v>HIGH-VALUE</v>
      </c>
    </row>
    <row r="47" spans="1:8">
      <c r="A47" s="6" t="s">
        <v>131</v>
      </c>
      <c r="B47" s="8">
        <v>12086.42</v>
      </c>
      <c r="C47" s="8">
        <v>4805.3600000000006</v>
      </c>
      <c r="D47" s="6">
        <v>2</v>
      </c>
      <c r="E47" s="8">
        <v>6043.21</v>
      </c>
      <c r="F47" s="11">
        <v>0.39758340352230032</v>
      </c>
      <c r="G47" s="12">
        <f>RANK(B47,$B$4:$B$53,0)</f>
        <v>44</v>
      </c>
      <c r="H47" s="12" t="str">
        <f>IF(OR(B47&gt;=PERCENTILE($B$4:$B$53,0.8),F47&gt;0.3),"HIGH-VALUE","Standard")</f>
        <v>HIGH-VALUE</v>
      </c>
    </row>
    <row r="48" spans="1:8">
      <c r="A48" s="6" t="s">
        <v>196</v>
      </c>
      <c r="B48" s="8">
        <v>10360</v>
      </c>
      <c r="C48" s="8">
        <v>3531.73</v>
      </c>
      <c r="D48" s="6">
        <v>4</v>
      </c>
      <c r="E48" s="8">
        <v>2590</v>
      </c>
      <c r="F48" s="11">
        <v>0.34090057915057909</v>
      </c>
      <c r="G48" s="12">
        <f>RANK(B48,$B$4:$B$53,0)</f>
        <v>45</v>
      </c>
      <c r="H48" s="12" t="str">
        <f>IF(OR(B48&gt;=PERCENTILE($B$4:$B$53,0.8),F48&gt;0.3),"HIGH-VALUE","Standard")</f>
        <v>HIGH-VALUE</v>
      </c>
    </row>
    <row r="49" spans="1:8">
      <c r="A49" s="6" t="s">
        <v>135</v>
      </c>
      <c r="B49" s="8">
        <v>9450.58</v>
      </c>
      <c r="C49" s="8">
        <v>3592.45</v>
      </c>
      <c r="D49" s="6">
        <v>2</v>
      </c>
      <c r="E49" s="8">
        <v>4725.29</v>
      </c>
      <c r="F49" s="11">
        <v>0.38013010841662631</v>
      </c>
      <c r="G49" s="12">
        <f>RANK(B49,$B$4:$B$53,0)</f>
        <v>46</v>
      </c>
      <c r="H49" s="12" t="str">
        <f>IF(OR(B49&gt;=PERCENTILE($B$4:$B$53,0.8),F49&gt;0.3),"HIGH-VALUE","Standard")</f>
        <v>HIGH-VALUE</v>
      </c>
    </row>
    <row r="50" spans="1:8">
      <c r="A50" s="6" t="s">
        <v>102</v>
      </c>
      <c r="B50" s="8">
        <v>6675.28</v>
      </c>
      <c r="C50" s="8">
        <v>2569.2199999999998</v>
      </c>
      <c r="D50" s="6">
        <v>2</v>
      </c>
      <c r="E50" s="8">
        <v>3337.64</v>
      </c>
      <c r="F50" s="11">
        <v>0.38488572763988932</v>
      </c>
      <c r="G50" s="12">
        <f>RANK(B50,$B$4:$B$53,0)</f>
        <v>47</v>
      </c>
      <c r="H50" s="12" t="str">
        <f>IF(OR(B50&gt;=PERCENTILE($B$4:$B$53,0.8),F50&gt;0.3),"HIGH-VALUE","Standard")</f>
        <v>HIGH-VALUE</v>
      </c>
    </row>
    <row r="51" spans="1:8">
      <c r="A51" s="6" t="s">
        <v>251</v>
      </c>
      <c r="B51" s="8">
        <v>2227.6999999999998</v>
      </c>
      <c r="C51" s="8">
        <v>570.87</v>
      </c>
      <c r="D51" s="6">
        <v>1</v>
      </c>
      <c r="E51" s="8">
        <v>2227.6999999999998</v>
      </c>
      <c r="F51" s="11">
        <v>0.25625981954482202</v>
      </c>
      <c r="G51" s="12">
        <f>RANK(B51,$B$4:$B$53,0)</f>
        <v>48</v>
      </c>
      <c r="H51" s="12" t="str">
        <f>IF(OR(B51&gt;=PERCENTILE($B$4:$B$53,0.8),F51&gt;0.3),"HIGH-VALUE","Standard")</f>
        <v>Standard</v>
      </c>
    </row>
    <row r="52" spans="1:8">
      <c r="A52" s="6" t="s">
        <v>222</v>
      </c>
      <c r="B52" s="8">
        <v>1635.4</v>
      </c>
      <c r="C52" s="8">
        <v>568.27</v>
      </c>
      <c r="D52" s="6">
        <v>2</v>
      </c>
      <c r="E52" s="8">
        <v>817.7</v>
      </c>
      <c r="F52" s="11">
        <v>0.34748073865720919</v>
      </c>
      <c r="G52" s="12">
        <f>RANK(B52,$B$4:$B$53,0)</f>
        <v>49</v>
      </c>
      <c r="H52" s="12" t="str">
        <f>IF(OR(B52&gt;=PERCENTILE($B$4:$B$53,0.8),F52&gt;0.3),"HIGH-VALUE","Standard")</f>
        <v>HIGH-VALUE</v>
      </c>
    </row>
    <row r="53" spans="1:8">
      <c r="A53" s="6" t="s">
        <v>278</v>
      </c>
      <c r="B53" s="8">
        <v>1559.79</v>
      </c>
      <c r="C53" s="8">
        <v>482.97</v>
      </c>
      <c r="D53" s="6">
        <v>1</v>
      </c>
      <c r="E53" s="8">
        <v>1559.79</v>
      </c>
      <c r="F53" s="11">
        <v>0.30963783586251997</v>
      </c>
      <c r="G53" s="12">
        <f>RANK(B53,$B$4:$B$53,0)</f>
        <v>50</v>
      </c>
      <c r="H53" s="12" t="str">
        <f>IF(OR(B53&gt;=PERCENTILE($B$4:$B$53,0.8),F53&gt;0.3),"HIGH-VALUE","Standard")</f>
        <v>HIGH-VALUE</v>
      </c>
    </row>
    <row r="56" spans="1:8">
      <c r="A56" s="68" t="s">
        <v>297</v>
      </c>
      <c r="B56" s="66"/>
      <c r="C56" s="66"/>
      <c r="D56" s="66"/>
    </row>
    <row r="57" spans="1:8">
      <c r="A57" s="14" t="s">
        <v>298</v>
      </c>
      <c r="B57" s="15" t="s">
        <v>37</v>
      </c>
    </row>
    <row r="58" spans="1:8">
      <c r="A58" s="16" t="s">
        <v>299</v>
      </c>
      <c r="B58" s="17">
        <f>IFERROR(INDEX(B4:B53,MATCH(B57,A4:A53,0)),"Not Found")</f>
        <v>142694.18</v>
      </c>
    </row>
    <row r="59" spans="1:8">
      <c r="A59" s="16" t="s">
        <v>300</v>
      </c>
      <c r="B59" s="17">
        <f>IFERROR(INDEX(C4:C53,MATCH(B57,A4:A53,0)),"Not Found")</f>
        <v>52286.17</v>
      </c>
    </row>
    <row r="60" spans="1:8">
      <c r="A60" s="16" t="s">
        <v>301</v>
      </c>
      <c r="B60" s="18">
        <f>IFERROR(INDEX(D4:D53,MATCH(B57,A4:A53,0)),"Not Found")</f>
        <v>12</v>
      </c>
    </row>
    <row r="61" spans="1:8">
      <c r="A61" s="16" t="s">
        <v>302</v>
      </c>
      <c r="B61" s="18" t="str">
        <f>IFERROR(INDEX(H4:H53,MATCH(B57,A4:A53,0)),"Not Found")</f>
        <v>HIGH-VALUE</v>
      </c>
    </row>
  </sheetData>
  <mergeCells count="2">
    <mergeCell ref="A56:D56"/>
    <mergeCell ref="A1:H1"/>
  </mergeCells>
  <conditionalFormatting sqref="A4:H53">
    <cfRule type="top10" dxfId="0" priority="1" rank="10"/>
  </conditionalFormatting>
  <conditionalFormatting sqref="B4:B53">
    <cfRule type="colorScale" priority="2">
      <colorScale>
        <cfvo type="min"/>
        <cfvo type="percentile" val="50"/>
        <cfvo type="max"/>
        <color rgb="FFF5B7B1"/>
        <color rgb="FFF9E79F"/>
        <color rgb="FF82E0A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A17" sqref="A17:XFD17"/>
    </sheetView>
  </sheetViews>
  <sheetFormatPr defaultRowHeight="15"/>
  <cols>
    <col min="1" max="1" width="12" customWidth="1"/>
    <col min="2" max="3" width="14" customWidth="1"/>
    <col min="4" max="4" width="10" customWidth="1"/>
    <col min="5" max="5" width="14" customWidth="1"/>
    <col min="6" max="6" width="16" customWidth="1"/>
  </cols>
  <sheetData>
    <row r="1" spans="1:6" ht="20.25">
      <c r="A1" s="67" t="s">
        <v>303</v>
      </c>
      <c r="B1" s="66"/>
      <c r="C1" s="66"/>
      <c r="D1" s="66"/>
      <c r="E1" s="66"/>
      <c r="F1" s="66"/>
    </row>
    <row r="3" spans="1:6">
      <c r="A3" s="5" t="s">
        <v>3</v>
      </c>
      <c r="B3" s="5" t="s">
        <v>290</v>
      </c>
      <c r="C3" s="5" t="s">
        <v>291</v>
      </c>
      <c r="D3" s="5" t="s">
        <v>304</v>
      </c>
      <c r="E3" s="5" t="s">
        <v>305</v>
      </c>
      <c r="F3" s="5" t="s">
        <v>306</v>
      </c>
    </row>
    <row r="4" spans="1:6">
      <c r="A4" s="6" t="s">
        <v>307</v>
      </c>
      <c r="B4" s="8">
        <v>224012.78</v>
      </c>
      <c r="C4" s="8">
        <v>77487.73</v>
      </c>
      <c r="D4" s="6">
        <v>15</v>
      </c>
      <c r="E4" s="6" t="s">
        <v>308</v>
      </c>
      <c r="F4" s="6" t="s">
        <v>308</v>
      </c>
    </row>
    <row r="5" spans="1:6">
      <c r="A5" s="6" t="s">
        <v>309</v>
      </c>
      <c r="B5" s="8">
        <v>368866.21</v>
      </c>
      <c r="C5" s="8">
        <v>130216.13</v>
      </c>
      <c r="D5" s="6">
        <v>21</v>
      </c>
      <c r="E5" s="19">
        <f>(B5-B4)/B4</f>
        <v>0.64663020565165985</v>
      </c>
      <c r="F5" s="19">
        <f>E5</f>
        <v>0.64663020565165985</v>
      </c>
    </row>
    <row r="6" spans="1:6">
      <c r="A6" s="6" t="s">
        <v>310</v>
      </c>
      <c r="B6" s="8">
        <v>180873.32</v>
      </c>
      <c r="C6" s="8">
        <v>69680.97</v>
      </c>
      <c r="D6" s="6">
        <v>15</v>
      </c>
      <c r="E6" s="19">
        <f>(B6-B5)/B5</f>
        <v>-0.50965061288752911</v>
      </c>
      <c r="F6" s="19">
        <f>E6</f>
        <v>-0.50965061288752911</v>
      </c>
    </row>
    <row r="7" spans="1:6">
      <c r="A7" s="6" t="s">
        <v>311</v>
      </c>
      <c r="B7" s="8">
        <v>77849.09</v>
      </c>
      <c r="C7" s="8">
        <v>30278.84</v>
      </c>
      <c r="D7" s="6">
        <v>12</v>
      </c>
      <c r="E7" s="19">
        <f>(B7-B6)/B6</f>
        <v>-0.56959329325076802</v>
      </c>
      <c r="F7" s="19">
        <f>E7</f>
        <v>-0.56959329325076802</v>
      </c>
    </row>
    <row r="8" spans="1:6">
      <c r="A8" s="6" t="s">
        <v>312</v>
      </c>
      <c r="B8" s="8">
        <v>220981.55</v>
      </c>
      <c r="C8" s="8">
        <v>80448.5</v>
      </c>
      <c r="D8" s="6">
        <v>18</v>
      </c>
      <c r="E8" s="19">
        <f>(B8-B7)/B7</f>
        <v>1.8385887362331403</v>
      </c>
      <c r="F8" s="19">
        <f>E8</f>
        <v>1.8385887362331403</v>
      </c>
    </row>
    <row r="9" spans="1:6">
      <c r="A9" s="6" t="s">
        <v>313</v>
      </c>
      <c r="B9" s="8">
        <v>147974.69</v>
      </c>
      <c r="C9" s="8">
        <v>55637.55</v>
      </c>
      <c r="D9" s="6">
        <v>17</v>
      </c>
      <c r="E9" s="19">
        <f>(B9-B8)/B8</f>
        <v>-0.33037536391612782</v>
      </c>
      <c r="F9" s="19">
        <f>E9</f>
        <v>-0.33037536391612782</v>
      </c>
    </row>
    <row r="10" spans="1:6">
      <c r="A10" s="6" t="s">
        <v>314</v>
      </c>
      <c r="B10" s="8">
        <v>124617.27</v>
      </c>
      <c r="C10" s="8">
        <v>48062</v>
      </c>
      <c r="D10" s="6">
        <v>16</v>
      </c>
      <c r="E10" s="19">
        <f>(B10-B9)/B9</f>
        <v>-0.15784739944378323</v>
      </c>
      <c r="F10" s="19">
        <f>E10</f>
        <v>-0.15784739944378323</v>
      </c>
    </row>
    <row r="11" spans="1:6">
      <c r="A11" s="6" t="s">
        <v>315</v>
      </c>
      <c r="B11" s="8">
        <v>197561.79</v>
      </c>
      <c r="C11" s="8">
        <v>72062.48</v>
      </c>
      <c r="D11" s="6">
        <v>21</v>
      </c>
      <c r="E11" s="19">
        <f>(B11-B10)/B10</f>
        <v>0.58534840315471526</v>
      </c>
      <c r="F11" s="19">
        <f>E11</f>
        <v>0.58534840315471526</v>
      </c>
    </row>
    <row r="12" spans="1:6">
      <c r="A12" s="6" t="s">
        <v>316</v>
      </c>
      <c r="B12" s="8">
        <v>194036.44</v>
      </c>
      <c r="C12" s="8">
        <v>70501.919999999998</v>
      </c>
      <c r="D12" s="6">
        <v>13</v>
      </c>
      <c r="E12" s="19">
        <f>(B12-B11)/B11</f>
        <v>-1.784429063939948E-2</v>
      </c>
      <c r="F12" s="19">
        <f>E12</f>
        <v>-1.784429063939948E-2</v>
      </c>
    </row>
    <row r="13" spans="1:6">
      <c r="A13" s="6" t="s">
        <v>317</v>
      </c>
      <c r="B13" s="8">
        <v>242354.41</v>
      </c>
      <c r="C13" s="8">
        <v>79664.639999999999</v>
      </c>
      <c r="D13" s="6">
        <v>21</v>
      </c>
      <c r="E13" s="19">
        <f>(B13-B12)/B12</f>
        <v>0.24901492729922275</v>
      </c>
      <c r="F13" s="19">
        <f>E13</f>
        <v>0.24901492729922275</v>
      </c>
    </row>
    <row r="14" spans="1:6">
      <c r="A14" s="6" t="s">
        <v>318</v>
      </c>
      <c r="B14" s="8">
        <v>111531.55</v>
      </c>
      <c r="C14" s="8">
        <v>42419.33</v>
      </c>
      <c r="D14" s="6">
        <v>14</v>
      </c>
      <c r="E14" s="19">
        <f>(B14-B13)/B13</f>
        <v>-0.53979979155320512</v>
      </c>
      <c r="F14" s="19">
        <f>E14</f>
        <v>-0.53979979155320512</v>
      </c>
    </row>
    <row r="15" spans="1:6">
      <c r="A15" s="6" t="s">
        <v>319</v>
      </c>
      <c r="B15" s="8">
        <v>128517.43</v>
      </c>
      <c r="C15" s="8">
        <v>48293.64</v>
      </c>
      <c r="D15" s="6">
        <v>17</v>
      </c>
      <c r="E15" s="19">
        <f>(B15-B14)/B14</f>
        <v>0.15229663713989441</v>
      </c>
      <c r="F15" s="19">
        <f>E15</f>
        <v>0.15229663713989441</v>
      </c>
    </row>
  </sheetData>
  <mergeCells count="1">
    <mergeCell ref="A1:F1"/>
  </mergeCells>
  <conditionalFormatting sqref="F5:F15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E5:E15">
    <cfRule type="colorScale" priority="2">
      <colorScale>
        <cfvo type="min"/>
        <cfvo type="num" val="0"/>
        <cfvo type="max"/>
        <color rgb="FFE74C3C"/>
        <color rgb="FFF7DC6F"/>
        <color rgb="FF27AE60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topLeftCell="A31" workbookViewId="0">
      <selection activeCell="B40" sqref="B40"/>
    </sheetView>
  </sheetViews>
  <sheetFormatPr defaultRowHeight="15"/>
  <cols>
    <col min="1" max="1" width="40" customWidth="1"/>
    <col min="2" max="3" width="16" customWidth="1"/>
    <col min="4" max="4" width="14" customWidth="1"/>
    <col min="5" max="5" width="12" customWidth="1"/>
  </cols>
  <sheetData>
    <row r="1" spans="1:7">
      <c r="A1" s="67" t="s">
        <v>320</v>
      </c>
      <c r="B1" s="66"/>
      <c r="C1" s="66"/>
      <c r="D1" s="66"/>
      <c r="E1" s="66"/>
      <c r="F1" s="66"/>
      <c r="G1" s="66"/>
    </row>
    <row r="2" spans="1:7">
      <c r="A2" s="69"/>
      <c r="B2" s="66"/>
      <c r="C2" s="66"/>
      <c r="D2" s="66"/>
      <c r="E2" s="66"/>
      <c r="F2" s="66"/>
      <c r="G2" s="66"/>
    </row>
    <row r="4" spans="1:7">
      <c r="A4" s="1" t="s">
        <v>321</v>
      </c>
    </row>
    <row r="5" spans="1:7">
      <c r="A5" s="16" t="s">
        <v>322</v>
      </c>
      <c r="B5" s="21">
        <v>2219176.5299999998</v>
      </c>
    </row>
    <row r="6" spans="1:7">
      <c r="A6" s="16" t="s">
        <v>323</v>
      </c>
      <c r="B6" s="21">
        <v>1414422.65</v>
      </c>
    </row>
    <row r="7" spans="1:7">
      <c r="A7" s="16" t="s">
        <v>324</v>
      </c>
      <c r="B7" s="17">
        <v>804753.73</v>
      </c>
    </row>
    <row r="8" spans="1:7">
      <c r="A8" s="16" t="s">
        <v>325</v>
      </c>
      <c r="B8" s="22">
        <v>0.10199999999999999</v>
      </c>
    </row>
    <row r="10" spans="1:7">
      <c r="A10" s="70" t="s">
        <v>326</v>
      </c>
      <c r="B10" s="66"/>
      <c r="C10" s="66"/>
    </row>
    <row r="11" spans="1:7">
      <c r="A11" s="16" t="s">
        <v>327</v>
      </c>
      <c r="B11" s="23">
        <v>0.15</v>
      </c>
      <c r="C11" s="24"/>
    </row>
    <row r="12" spans="1:7">
      <c r="A12" s="16" t="s">
        <v>328</v>
      </c>
      <c r="B12" s="23">
        <v>0.1</v>
      </c>
      <c r="C12" s="24"/>
    </row>
    <row r="14" spans="1:7">
      <c r="A14" s="2" t="s">
        <v>329</v>
      </c>
    </row>
    <row r="15" spans="1:7">
      <c r="A15" s="16" t="s">
        <v>330</v>
      </c>
      <c r="B15" s="21">
        <f>B5/(1-B8)</f>
        <v>2471243.3518930953</v>
      </c>
    </row>
    <row r="16" spans="1:7">
      <c r="A16" s="16" t="s">
        <v>331</v>
      </c>
      <c r="B16" s="21">
        <f>B15*(1+B12)</f>
        <v>2718367.6870824052</v>
      </c>
    </row>
    <row r="17" spans="1:4">
      <c r="A17" s="16" t="s">
        <v>332</v>
      </c>
      <c r="B17" s="21">
        <f>B16*(1-B11)</f>
        <v>2310612.5340200444</v>
      </c>
    </row>
    <row r="18" spans="1:4">
      <c r="A18" s="16" t="s">
        <v>333</v>
      </c>
      <c r="B18" s="21">
        <f>B6*(1+B12)</f>
        <v>1555864.915</v>
      </c>
    </row>
    <row r="19" spans="1:4">
      <c r="A19" s="16" t="s">
        <v>334</v>
      </c>
      <c r="B19" s="25">
        <f>B17-B18</f>
        <v>754747.61902004434</v>
      </c>
    </row>
    <row r="20" spans="1:4">
      <c r="A20" s="16" t="s">
        <v>335</v>
      </c>
      <c r="B20" s="26">
        <f>B19-B7</f>
        <v>-50006.110979955643</v>
      </c>
    </row>
    <row r="21" spans="1:4">
      <c r="A21" s="16" t="s">
        <v>336</v>
      </c>
      <c r="B21" s="22">
        <f>(B19-B7)/B7</f>
        <v>-6.2138402241336169E-2</v>
      </c>
    </row>
    <row r="24" spans="1:4">
      <c r="A24" s="68" t="s">
        <v>337</v>
      </c>
      <c r="B24" s="66"/>
      <c r="C24" s="66"/>
      <c r="D24" s="66"/>
    </row>
    <row r="25" spans="1:4">
      <c r="A25" s="5" t="s">
        <v>338</v>
      </c>
      <c r="B25" s="5" t="s">
        <v>339</v>
      </c>
      <c r="C25" s="5" t="s">
        <v>340</v>
      </c>
      <c r="D25" s="5" t="s">
        <v>341</v>
      </c>
    </row>
    <row r="26" spans="1:4">
      <c r="A26" s="27">
        <v>0</v>
      </c>
      <c r="B26" s="28">
        <f>$B$15*(1+0)*(1-A26)</f>
        <v>2471243.3518930953</v>
      </c>
      <c r="C26" s="28">
        <f>B26-$B$6*(1+0)</f>
        <v>1056820.7018930954</v>
      </c>
      <c r="D26" s="29">
        <f>C26-$B$7</f>
        <v>252066.97189309541</v>
      </c>
    </row>
    <row r="27" spans="1:4">
      <c r="A27" s="27">
        <v>0.05</v>
      </c>
      <c r="B27" s="28">
        <f>$B$15*(1+0.03)*(1-A27)</f>
        <v>2418111.6198273934</v>
      </c>
      <c r="C27" s="28">
        <f>B27-$B$6*(1+0.03)</f>
        <v>961256.29032739345</v>
      </c>
      <c r="D27" s="29">
        <f>C27-$B$7</f>
        <v>156502.56032739347</v>
      </c>
    </row>
    <row r="28" spans="1:4">
      <c r="A28" s="27">
        <v>0.1</v>
      </c>
      <c r="B28" s="28">
        <f>$B$15*(1+0.06)*(1-A28)</f>
        <v>2357566.1577060129</v>
      </c>
      <c r="C28" s="28">
        <f>B28-$B$6*(1+0.06)</f>
        <v>858278.14870601287</v>
      </c>
      <c r="D28" s="29">
        <f>C28-$B$7</f>
        <v>53524.41870601289</v>
      </c>
    </row>
    <row r="29" spans="1:4">
      <c r="A29" s="27">
        <v>0.15</v>
      </c>
      <c r="B29" s="28">
        <f>$B$15*(1+0.0899999999999999)*(1-A29)</f>
        <v>2289606.9655289524</v>
      </c>
      <c r="C29" s="28">
        <f>B29-$B$6*(1+0.0899999999999999)</f>
        <v>747886.27702895273</v>
      </c>
      <c r="D29" s="29">
        <f>C29-$B$7</f>
        <v>-56867.452971047256</v>
      </c>
    </row>
    <row r="30" spans="1:4">
      <c r="A30" s="27">
        <v>0.2</v>
      </c>
      <c r="B30" s="28">
        <f>$B$15*(1+0.12)*(1-A30)</f>
        <v>2214234.0432962137</v>
      </c>
      <c r="C30" s="28">
        <f>B30-$B$6*(1+0.12)</f>
        <v>630080.67529621371</v>
      </c>
      <c r="D30" s="29">
        <f>C30-$B$7</f>
        <v>-174673.05470378627</v>
      </c>
    </row>
    <row r="31" spans="1:4">
      <c r="A31" s="27">
        <v>0.25</v>
      </c>
      <c r="B31" s="28">
        <f>$B$15*(1+0.15)*(1-A31)</f>
        <v>2131447.3910077945</v>
      </c>
      <c r="C31" s="28">
        <f>B31-$B$6*(1+0.15)</f>
        <v>504861.34350779466</v>
      </c>
      <c r="D31" s="29">
        <f>C31-$B$7</f>
        <v>-299892.38649220532</v>
      </c>
    </row>
    <row r="32" spans="1:4">
      <c r="A32" s="27">
        <v>0.3</v>
      </c>
      <c r="B32" s="28">
        <f>$B$15*(1+0.179999999999999)*(1-A32)</f>
        <v>2041247.0086636951</v>
      </c>
      <c r="C32" s="28">
        <f>B32-$B$6*(1+0.179999999999999)</f>
        <v>372228.28166369651</v>
      </c>
      <c r="D32" s="29">
        <f>C32-$B$7</f>
        <v>-432525.44833630347</v>
      </c>
    </row>
    <row r="35" spans="1:1">
      <c r="A35" s="13"/>
    </row>
  </sheetData>
  <mergeCells count="4">
    <mergeCell ref="A10:C10"/>
    <mergeCell ref="A2:G2"/>
    <mergeCell ref="A1:G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2"/>
  <sheetViews>
    <sheetView topLeftCell="A38" workbookViewId="0">
      <selection activeCell="A47" sqref="A47"/>
    </sheetView>
  </sheetViews>
  <sheetFormatPr defaultRowHeight="15"/>
  <cols>
    <col min="1" max="1" width="28" customWidth="1"/>
    <col min="2" max="3" width="14" customWidth="1"/>
    <col min="4" max="7" width="12" customWidth="1"/>
  </cols>
  <sheetData>
    <row r="1" spans="1:6">
      <c r="A1" s="67" t="s">
        <v>342</v>
      </c>
      <c r="B1" s="66"/>
      <c r="C1" s="66"/>
      <c r="D1" s="66"/>
      <c r="E1" s="66"/>
      <c r="F1" s="66"/>
    </row>
    <row r="2" spans="1:6">
      <c r="A2" s="69"/>
      <c r="B2" s="66"/>
      <c r="C2" s="66"/>
      <c r="D2" s="66"/>
      <c r="E2" s="66"/>
      <c r="F2" s="66"/>
    </row>
    <row r="4" spans="1:6">
      <c r="A4" s="71" t="s">
        <v>343</v>
      </c>
      <c r="B4" s="66"/>
      <c r="C4" s="66"/>
    </row>
    <row r="5" spans="1:6">
      <c r="A5" s="5" t="s">
        <v>344</v>
      </c>
      <c r="B5" s="5" t="s">
        <v>10</v>
      </c>
      <c r="C5" s="5" t="s">
        <v>12</v>
      </c>
    </row>
    <row r="6" spans="1:6">
      <c r="A6" s="4" t="s">
        <v>345</v>
      </c>
      <c r="B6" s="30">
        <v>11095.88265</v>
      </c>
      <c r="C6" s="30">
        <v>4023.76865</v>
      </c>
    </row>
    <row r="7" spans="1:6">
      <c r="A7" s="4" t="s">
        <v>346</v>
      </c>
      <c r="B7" s="30">
        <v>947.07425635352922</v>
      </c>
      <c r="C7" s="30">
        <v>356.91306700440492</v>
      </c>
    </row>
    <row r="8" spans="1:6">
      <c r="A8" s="4" t="s">
        <v>347</v>
      </c>
      <c r="B8" s="30">
        <v>5180.9449999999997</v>
      </c>
      <c r="C8" s="30">
        <v>1866.7950000000001</v>
      </c>
    </row>
    <row r="9" spans="1:6">
      <c r="A9" s="4" t="s">
        <v>348</v>
      </c>
      <c r="B9" s="30">
        <v>221.95</v>
      </c>
      <c r="C9" s="30">
        <v>61.22</v>
      </c>
    </row>
    <row r="10" spans="1:6">
      <c r="A10" s="4" t="s">
        <v>349</v>
      </c>
      <c r="B10" s="30">
        <v>13393.65257909574</v>
      </c>
      <c r="C10" s="30">
        <v>5047.5129994580666</v>
      </c>
    </row>
    <row r="11" spans="1:6">
      <c r="A11" s="4" t="s">
        <v>350</v>
      </c>
      <c r="B11" s="30">
        <v>179389929.40951809</v>
      </c>
      <c r="C11" s="30">
        <v>25477387.47969817</v>
      </c>
    </row>
    <row r="12" spans="1:6">
      <c r="A12" s="4" t="s">
        <v>351</v>
      </c>
      <c r="B12" s="30">
        <v>2.0558357401768128</v>
      </c>
      <c r="C12" s="30">
        <v>2.9762751845128039</v>
      </c>
    </row>
    <row r="13" spans="1:6">
      <c r="A13" s="4" t="s">
        <v>352</v>
      </c>
      <c r="B13" s="30">
        <v>1.681725678091111</v>
      </c>
      <c r="C13" s="30">
        <v>1.8624902325473029</v>
      </c>
    </row>
    <row r="14" spans="1:6">
      <c r="A14" s="4" t="s">
        <v>353</v>
      </c>
      <c r="B14" s="30">
        <v>55230.780000000013</v>
      </c>
      <c r="C14" s="30">
        <v>22710.42</v>
      </c>
    </row>
    <row r="15" spans="1:6">
      <c r="A15" s="4" t="s">
        <v>354</v>
      </c>
      <c r="B15" s="30">
        <v>221.95</v>
      </c>
      <c r="C15" s="30">
        <v>61.22</v>
      </c>
    </row>
    <row r="16" spans="1:6">
      <c r="A16" s="4" t="s">
        <v>355</v>
      </c>
      <c r="B16" s="30">
        <v>55452.73</v>
      </c>
      <c r="C16" s="30">
        <v>22771.64</v>
      </c>
    </row>
    <row r="17" spans="1:6">
      <c r="A17" s="4" t="s">
        <v>356</v>
      </c>
      <c r="B17" s="30">
        <v>2219176.5299999998</v>
      </c>
      <c r="C17" s="30">
        <v>804753.73</v>
      </c>
    </row>
    <row r="18" spans="1:6">
      <c r="A18" s="4" t="s">
        <v>357</v>
      </c>
      <c r="B18" s="31">
        <v>200</v>
      </c>
      <c r="C18" s="31">
        <v>200</v>
      </c>
    </row>
    <row r="21" spans="1:6">
      <c r="A21" s="72" t="s">
        <v>358</v>
      </c>
      <c r="B21" s="66"/>
      <c r="C21" s="66"/>
      <c r="D21" s="66"/>
      <c r="E21" s="66"/>
    </row>
    <row r="23" spans="1:6">
      <c r="A23" s="32" t="s">
        <v>359</v>
      </c>
    </row>
    <row r="24" spans="1:6">
      <c r="A24" s="33" t="s">
        <v>360</v>
      </c>
    </row>
    <row r="25" spans="1:6">
      <c r="A25" s="16" t="s">
        <v>361</v>
      </c>
      <c r="B25" s="34">
        <v>0.97988509364655718</v>
      </c>
    </row>
    <row r="26" spans="1:6">
      <c r="A26" s="16" t="s">
        <v>362</v>
      </c>
      <c r="B26" s="34">
        <v>0.96017479675072204</v>
      </c>
    </row>
    <row r="27" spans="1:6">
      <c r="A27" s="16" t="s">
        <v>363</v>
      </c>
      <c r="B27" s="34">
        <v>0.95997365936057422</v>
      </c>
    </row>
    <row r="28" spans="1:6">
      <c r="A28" s="16" t="s">
        <v>346</v>
      </c>
      <c r="B28" s="30">
        <v>1009.834931988907</v>
      </c>
    </row>
    <row r="29" spans="1:6">
      <c r="A29" s="16" t="s">
        <v>364</v>
      </c>
      <c r="B29" s="31">
        <v>200</v>
      </c>
    </row>
    <row r="31" spans="1:6">
      <c r="A31" s="33" t="s">
        <v>365</v>
      </c>
    </row>
    <row r="32" spans="1:6">
      <c r="A32" s="35"/>
      <c r="B32" s="35" t="s">
        <v>366</v>
      </c>
      <c r="C32" s="35" t="s">
        <v>367</v>
      </c>
      <c r="D32" s="35" t="s">
        <v>368</v>
      </c>
      <c r="E32" s="35" t="s">
        <v>369</v>
      </c>
      <c r="F32" s="35" t="s">
        <v>370</v>
      </c>
    </row>
    <row r="33" spans="1:7">
      <c r="A33" s="31" t="s">
        <v>371</v>
      </c>
      <c r="B33" s="31">
        <v>1</v>
      </c>
      <c r="C33" s="30">
        <v>4868086323.6666574</v>
      </c>
      <c r="D33" s="30">
        <v>4868086323.6666574</v>
      </c>
      <c r="E33" s="36">
        <v>4773.7260389271169</v>
      </c>
      <c r="F33" s="31" t="s">
        <v>372</v>
      </c>
    </row>
    <row r="34" spans="1:7">
      <c r="A34" s="31" t="s">
        <v>373</v>
      </c>
      <c r="B34" s="31">
        <v>198</v>
      </c>
      <c r="C34" s="30">
        <v>201913784.79327819</v>
      </c>
      <c r="D34" s="30">
        <v>1019766.589865041</v>
      </c>
      <c r="E34" s="31"/>
      <c r="F34" s="31"/>
    </row>
    <row r="35" spans="1:7">
      <c r="A35" s="31" t="s">
        <v>374</v>
      </c>
      <c r="B35" s="31">
        <v>199</v>
      </c>
      <c r="C35" s="30">
        <v>5070000108.4599361</v>
      </c>
      <c r="D35" s="31"/>
      <c r="E35" s="31"/>
      <c r="F35" s="31"/>
    </row>
    <row r="37" spans="1:7">
      <c r="A37" s="33" t="s">
        <v>375</v>
      </c>
    </row>
    <row r="38" spans="1:7">
      <c r="A38" s="35"/>
      <c r="B38" s="35" t="s">
        <v>375</v>
      </c>
      <c r="C38" s="35" t="s">
        <v>346</v>
      </c>
      <c r="D38" s="35" t="s">
        <v>376</v>
      </c>
      <c r="E38" s="35" t="s">
        <v>377</v>
      </c>
      <c r="F38" s="35" t="s">
        <v>378</v>
      </c>
      <c r="G38" s="35" t="s">
        <v>379</v>
      </c>
    </row>
    <row r="39" spans="1:7">
      <c r="A39" s="31" t="s">
        <v>380</v>
      </c>
      <c r="B39" s="30">
        <v>-73.697955048424774</v>
      </c>
      <c r="C39" s="30">
        <v>1009.834931988907</v>
      </c>
      <c r="D39" s="36">
        <v>-7.2980199747372479E-2</v>
      </c>
      <c r="E39" s="31"/>
      <c r="F39" s="31"/>
      <c r="G39" s="31"/>
    </row>
    <row r="40" spans="1:7">
      <c r="A40" s="31" t="s">
        <v>381</v>
      </c>
      <c r="B40" s="34">
        <v>0.36927811281857997</v>
      </c>
      <c r="C40" s="34">
        <v>5.344718322506597E-3</v>
      </c>
      <c r="D40" s="36">
        <v>69.09215613169934</v>
      </c>
      <c r="E40" s="31" t="s">
        <v>372</v>
      </c>
      <c r="F40" s="34">
        <v>0.35880246490646711</v>
      </c>
      <c r="G40" s="34">
        <v>0.37975376073069289</v>
      </c>
    </row>
    <row r="42" spans="1:7">
      <c r="A42" s="13"/>
    </row>
  </sheetData>
  <mergeCells count="4">
    <mergeCell ref="A21:E21"/>
    <mergeCell ref="A2:F2"/>
    <mergeCell ref="A4:C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"/>
  <sheetViews>
    <sheetView topLeftCell="A38" workbookViewId="0">
      <selection activeCell="A34" sqref="A34"/>
    </sheetView>
  </sheetViews>
  <sheetFormatPr defaultRowHeight="15"/>
  <cols>
    <col min="1" max="1" width="16" customWidth="1"/>
    <col min="2" max="11" width="12" customWidth="1"/>
  </cols>
  <sheetData>
    <row r="1" spans="1:10">
      <c r="A1" s="67" t="s">
        <v>382</v>
      </c>
      <c r="B1" s="66"/>
      <c r="C1" s="66"/>
      <c r="D1" s="66"/>
      <c r="E1" s="66"/>
      <c r="F1" s="66"/>
      <c r="G1" s="66"/>
      <c r="H1" s="66"/>
    </row>
    <row r="2" spans="1:10">
      <c r="A2" s="69"/>
      <c r="B2" s="66"/>
      <c r="C2" s="66"/>
      <c r="D2" s="66"/>
      <c r="E2" s="66"/>
      <c r="F2" s="66"/>
      <c r="G2" s="66"/>
      <c r="H2" s="66"/>
    </row>
    <row r="4" spans="1:10">
      <c r="A4" s="71" t="s">
        <v>383</v>
      </c>
      <c r="B4" s="66"/>
      <c r="C4" s="66"/>
      <c r="D4" s="66"/>
      <c r="E4" s="66"/>
      <c r="F4" s="66"/>
      <c r="G4" s="66"/>
      <c r="H4" s="66"/>
      <c r="I4" s="66"/>
      <c r="J4" s="66"/>
    </row>
    <row r="5" spans="1:10">
      <c r="A5" s="3" t="s">
        <v>384</v>
      </c>
      <c r="B5" s="5" t="s">
        <v>65</v>
      </c>
      <c r="C5" s="5" t="s">
        <v>33</v>
      </c>
      <c r="D5" s="5" t="s">
        <v>29</v>
      </c>
      <c r="E5" s="5" t="s">
        <v>22</v>
      </c>
      <c r="F5" s="5" t="s">
        <v>40</v>
      </c>
      <c r="G5" s="5" t="s">
        <v>68</v>
      </c>
      <c r="H5" s="5" t="s">
        <v>18</v>
      </c>
      <c r="I5" s="5" t="s">
        <v>26</v>
      </c>
      <c r="J5" s="3" t="s">
        <v>374</v>
      </c>
    </row>
    <row r="6" spans="1:10">
      <c r="A6" s="37" t="s">
        <v>21</v>
      </c>
      <c r="B6" s="38">
        <v>8249.880000000001</v>
      </c>
      <c r="C6" s="38">
        <v>9515.8700000000008</v>
      </c>
      <c r="D6" s="38">
        <v>445480.11</v>
      </c>
      <c r="E6" s="38">
        <v>49700.4</v>
      </c>
      <c r="F6" s="38">
        <v>4819.22</v>
      </c>
      <c r="G6" s="38">
        <v>8869.34</v>
      </c>
      <c r="H6" s="38">
        <v>82812.759999999995</v>
      </c>
      <c r="I6" s="38">
        <v>60811.87</v>
      </c>
      <c r="J6" s="39">
        <v>670259.44999999995</v>
      </c>
    </row>
    <row r="7" spans="1:10">
      <c r="A7" s="37" t="s">
        <v>17</v>
      </c>
      <c r="B7" s="38">
        <v>21464.58</v>
      </c>
      <c r="C7" s="38">
        <v>7930.86</v>
      </c>
      <c r="D7" s="38">
        <v>228663.73</v>
      </c>
      <c r="E7" s="38">
        <v>57225.66</v>
      </c>
      <c r="F7" s="38">
        <v>9760.69</v>
      </c>
      <c r="G7" s="38">
        <v>26948.91</v>
      </c>
      <c r="H7" s="38">
        <v>99708.109999999986</v>
      </c>
      <c r="I7" s="38">
        <v>39459.42</v>
      </c>
      <c r="J7" s="39">
        <v>491161.96</v>
      </c>
    </row>
    <row r="8" spans="1:10">
      <c r="A8" s="37" t="s">
        <v>25</v>
      </c>
      <c r="B8" s="38">
        <v>30185.02</v>
      </c>
      <c r="C8" s="38">
        <v>3021.68</v>
      </c>
      <c r="D8" s="38">
        <v>215508.05</v>
      </c>
      <c r="E8" s="38">
        <v>72632.649999999994</v>
      </c>
      <c r="F8" s="38">
        <v>3454.37</v>
      </c>
      <c r="G8" s="38">
        <v>31036.59</v>
      </c>
      <c r="H8" s="38">
        <v>22310.65</v>
      </c>
      <c r="I8" s="38">
        <v>82200.14</v>
      </c>
      <c r="J8" s="39">
        <v>460349.15</v>
      </c>
    </row>
    <row r="9" spans="1:10">
      <c r="A9" s="37" t="s">
        <v>38</v>
      </c>
      <c r="B9" s="38">
        <v>10810.02</v>
      </c>
      <c r="C9" s="38">
        <v>12648.32</v>
      </c>
      <c r="D9" s="38">
        <v>115394.77</v>
      </c>
      <c r="E9" s="38">
        <v>20222.2</v>
      </c>
      <c r="F9" s="38">
        <v>4251.79</v>
      </c>
      <c r="G9" s="38">
        <v>17874.71</v>
      </c>
      <c r="H9" s="38">
        <v>83239.61</v>
      </c>
      <c r="I9" s="38">
        <v>63421.22</v>
      </c>
      <c r="J9" s="39">
        <v>327862.64</v>
      </c>
    </row>
    <row r="10" spans="1:10">
      <c r="A10" s="37" t="s">
        <v>71</v>
      </c>
      <c r="B10" s="38">
        <v>13331.23</v>
      </c>
      <c r="C10" s="38">
        <v>6657.87</v>
      </c>
      <c r="D10" s="38">
        <v>61987.3</v>
      </c>
      <c r="E10" s="38">
        <v>23196.84</v>
      </c>
      <c r="F10" s="38">
        <v>6287.17</v>
      </c>
      <c r="G10" s="38">
        <v>14288.12</v>
      </c>
      <c r="H10" s="38">
        <v>131964.25</v>
      </c>
      <c r="I10" s="38">
        <v>11830.55</v>
      </c>
      <c r="J10" s="39">
        <v>269543.33</v>
      </c>
    </row>
    <row r="11" spans="1:10">
      <c r="A11" s="40" t="s">
        <v>374</v>
      </c>
      <c r="B11" s="39">
        <v>84040.73</v>
      </c>
      <c r="C11" s="39">
        <v>39774.6</v>
      </c>
      <c r="D11" s="39">
        <v>1067033.96</v>
      </c>
      <c r="E11" s="39">
        <v>222977.75</v>
      </c>
      <c r="F11" s="39">
        <v>28573.24</v>
      </c>
      <c r="G11" s="39">
        <v>99017.669999999984</v>
      </c>
      <c r="H11" s="39">
        <v>420035.38</v>
      </c>
      <c r="I11" s="39">
        <v>257723.2</v>
      </c>
      <c r="J11" s="41">
        <v>2219176.5299999998</v>
      </c>
    </row>
    <row r="14" spans="1:10">
      <c r="A14" s="72" t="s">
        <v>385</v>
      </c>
      <c r="B14" s="66"/>
      <c r="C14" s="66"/>
      <c r="D14" s="66"/>
      <c r="E14" s="66"/>
      <c r="F14" s="66"/>
      <c r="G14" s="66"/>
      <c r="H14" s="66"/>
      <c r="I14" s="66"/>
      <c r="J14" s="66"/>
    </row>
    <row r="15" spans="1:10">
      <c r="A15" s="3" t="s">
        <v>384</v>
      </c>
      <c r="B15" s="5" t="s">
        <v>65</v>
      </c>
      <c r="C15" s="5" t="s">
        <v>33</v>
      </c>
      <c r="D15" s="5" t="s">
        <v>29</v>
      </c>
      <c r="E15" s="5" t="s">
        <v>22</v>
      </c>
      <c r="F15" s="5" t="s">
        <v>40</v>
      </c>
      <c r="G15" s="5" t="s">
        <v>68</v>
      </c>
      <c r="H15" s="5" t="s">
        <v>18</v>
      </c>
      <c r="I15" s="5" t="s">
        <v>26</v>
      </c>
      <c r="J15" s="3" t="s">
        <v>374</v>
      </c>
    </row>
    <row r="16" spans="1:10">
      <c r="A16" s="42" t="s">
        <v>21</v>
      </c>
      <c r="B16" s="38">
        <v>3149.4</v>
      </c>
      <c r="C16" s="38">
        <v>3723.69</v>
      </c>
      <c r="D16" s="38">
        <v>168167.34</v>
      </c>
      <c r="E16" s="38">
        <v>17392.240000000002</v>
      </c>
      <c r="F16" s="38">
        <v>1597.87</v>
      </c>
      <c r="G16" s="38">
        <v>2378.16</v>
      </c>
      <c r="H16" s="38">
        <v>32985.480000000003</v>
      </c>
      <c r="I16" s="38">
        <v>22073.91</v>
      </c>
      <c r="J16" s="39">
        <v>251468.09</v>
      </c>
    </row>
    <row r="17" spans="1:10">
      <c r="A17" s="42" t="s">
        <v>17</v>
      </c>
      <c r="B17" s="38">
        <v>8514.52</v>
      </c>
      <c r="C17" s="38">
        <v>2954.4</v>
      </c>
      <c r="D17" s="38">
        <v>73631.17</v>
      </c>
      <c r="E17" s="38">
        <v>19442.900000000001</v>
      </c>
      <c r="F17" s="38">
        <v>3364.92</v>
      </c>
      <c r="G17" s="38">
        <v>10274.049999999999</v>
      </c>
      <c r="H17" s="38">
        <v>35410.559999999998</v>
      </c>
      <c r="I17" s="38">
        <v>16862.349999999999</v>
      </c>
      <c r="J17" s="39">
        <v>170454.87</v>
      </c>
    </row>
    <row r="18" spans="1:10">
      <c r="A18" s="42" t="s">
        <v>25</v>
      </c>
      <c r="B18" s="38">
        <v>10901.98</v>
      </c>
      <c r="C18" s="38">
        <v>975.76</v>
      </c>
      <c r="D18" s="38">
        <v>85633.319999999992</v>
      </c>
      <c r="E18" s="38">
        <v>24158.7</v>
      </c>
      <c r="F18" s="38">
        <v>1139.18</v>
      </c>
      <c r="G18" s="38">
        <v>11421.73</v>
      </c>
      <c r="H18" s="38">
        <v>6066.67</v>
      </c>
      <c r="I18" s="38">
        <v>26815.01</v>
      </c>
      <c r="J18" s="39">
        <v>167112.35</v>
      </c>
    </row>
    <row r="19" spans="1:10">
      <c r="A19" s="42" t="s">
        <v>38</v>
      </c>
      <c r="B19" s="38">
        <v>3912.97</v>
      </c>
      <c r="C19" s="38">
        <v>3869.05</v>
      </c>
      <c r="D19" s="38">
        <v>42126.93</v>
      </c>
      <c r="E19" s="38">
        <v>7623.74</v>
      </c>
      <c r="F19" s="38">
        <v>1461.16</v>
      </c>
      <c r="G19" s="38">
        <v>7115.08</v>
      </c>
      <c r="H19" s="38">
        <v>28764.21</v>
      </c>
      <c r="I19" s="38">
        <v>20170.23</v>
      </c>
      <c r="J19" s="39">
        <v>115043.37</v>
      </c>
    </row>
    <row r="20" spans="1:10">
      <c r="A20" s="42" t="s">
        <v>71</v>
      </c>
      <c r="B20" s="38">
        <v>4504.33</v>
      </c>
      <c r="C20" s="38">
        <v>2499.9299999999998</v>
      </c>
      <c r="D20" s="38">
        <v>21949.74</v>
      </c>
      <c r="E20" s="38">
        <v>8142.97</v>
      </c>
      <c r="F20" s="38">
        <v>2112.29</v>
      </c>
      <c r="G20" s="38">
        <v>5542.1900000000014</v>
      </c>
      <c r="H20" s="38">
        <v>52056.55</v>
      </c>
      <c r="I20" s="38">
        <v>3867.05</v>
      </c>
      <c r="J20" s="39">
        <v>100675.05</v>
      </c>
    </row>
    <row r="21" spans="1:10">
      <c r="A21" s="40" t="s">
        <v>374</v>
      </c>
      <c r="B21" s="39">
        <v>30983.200000000001</v>
      </c>
      <c r="C21" s="39">
        <v>14022.83</v>
      </c>
      <c r="D21" s="39">
        <v>391508.5</v>
      </c>
      <c r="E21" s="39">
        <v>76760.55</v>
      </c>
      <c r="F21" s="39">
        <v>9675.42</v>
      </c>
      <c r="G21" s="39">
        <v>36731.21</v>
      </c>
      <c r="H21" s="39">
        <v>155283.47</v>
      </c>
      <c r="I21" s="39">
        <v>89788.549999999988</v>
      </c>
      <c r="J21" s="41">
        <v>804753.73</v>
      </c>
    </row>
    <row r="24" spans="1:10">
      <c r="A24" s="13" t="s">
        <v>386</v>
      </c>
      <c r="F24" s="13" t="s">
        <v>387</v>
      </c>
    </row>
    <row r="25" spans="1:10">
      <c r="A25" s="3" t="s">
        <v>5</v>
      </c>
      <c r="B25" s="3" t="s">
        <v>290</v>
      </c>
      <c r="C25" s="3" t="s">
        <v>291</v>
      </c>
      <c r="D25" s="3" t="s">
        <v>294</v>
      </c>
      <c r="F25" s="3" t="s">
        <v>6</v>
      </c>
      <c r="G25" s="3" t="s">
        <v>290</v>
      </c>
      <c r="H25" s="3" t="s">
        <v>291</v>
      </c>
      <c r="I25" s="3" t="s">
        <v>388</v>
      </c>
    </row>
    <row r="26" spans="1:10">
      <c r="A26" s="16" t="s">
        <v>21</v>
      </c>
      <c r="B26" s="43">
        <v>670259.44999999995</v>
      </c>
      <c r="C26" s="43">
        <v>251468.09</v>
      </c>
      <c r="D26" s="44">
        <v>0.37518022312106158</v>
      </c>
      <c r="F26" s="16" t="s">
        <v>65</v>
      </c>
      <c r="G26" s="43">
        <v>84040.73000000001</v>
      </c>
      <c r="H26" s="43">
        <v>30983.200000000001</v>
      </c>
      <c r="I26" s="16">
        <v>634</v>
      </c>
    </row>
    <row r="27" spans="1:10">
      <c r="A27" s="16" t="s">
        <v>17</v>
      </c>
      <c r="B27" s="43">
        <v>491161.96</v>
      </c>
      <c r="C27" s="43">
        <v>170454.87</v>
      </c>
      <c r="D27" s="44">
        <v>0.34704411962196752</v>
      </c>
      <c r="F27" s="16" t="s">
        <v>33</v>
      </c>
      <c r="G27" s="43">
        <v>39774.6</v>
      </c>
      <c r="H27" s="43">
        <v>14022.83</v>
      </c>
      <c r="I27" s="16">
        <v>564</v>
      </c>
    </row>
    <row r="28" spans="1:10">
      <c r="A28" s="16" t="s">
        <v>25</v>
      </c>
      <c r="B28" s="43">
        <v>460349.15</v>
      </c>
      <c r="C28" s="43">
        <v>167112.35</v>
      </c>
      <c r="D28" s="44">
        <v>0.36301218325264628</v>
      </c>
      <c r="F28" s="16" t="s">
        <v>29</v>
      </c>
      <c r="G28" s="43">
        <v>1067033.96</v>
      </c>
      <c r="H28" s="43">
        <v>391508.49999999988</v>
      </c>
      <c r="I28" s="16">
        <v>1000</v>
      </c>
    </row>
    <row r="29" spans="1:10">
      <c r="A29" s="16" t="s">
        <v>38</v>
      </c>
      <c r="B29" s="43">
        <v>327862.64</v>
      </c>
      <c r="C29" s="43">
        <v>115043.37</v>
      </c>
      <c r="D29" s="44">
        <v>0.35088892714339148</v>
      </c>
      <c r="F29" s="16" t="s">
        <v>22</v>
      </c>
      <c r="G29" s="43">
        <v>222977.75</v>
      </c>
      <c r="H29" s="43">
        <v>76760.55</v>
      </c>
      <c r="I29" s="16">
        <v>697</v>
      </c>
    </row>
    <row r="30" spans="1:10">
      <c r="A30" s="16" t="s">
        <v>71</v>
      </c>
      <c r="B30" s="43">
        <v>269543.33</v>
      </c>
      <c r="C30" s="43">
        <v>100675.05</v>
      </c>
      <c r="D30" s="44">
        <v>0.37350228625579418</v>
      </c>
      <c r="F30" s="16" t="s">
        <v>40</v>
      </c>
      <c r="G30" s="43">
        <v>28573.24</v>
      </c>
      <c r="H30" s="43">
        <v>9675.42</v>
      </c>
      <c r="I30" s="16">
        <v>793</v>
      </c>
    </row>
    <row r="31" spans="1:10">
      <c r="F31" s="16" t="s">
        <v>68</v>
      </c>
      <c r="G31" s="43">
        <v>99017.67</v>
      </c>
      <c r="H31" s="43">
        <v>36731.21</v>
      </c>
      <c r="I31" s="16">
        <v>455</v>
      </c>
    </row>
    <row r="32" spans="1:10">
      <c r="F32" s="16" t="s">
        <v>18</v>
      </c>
      <c r="G32" s="43">
        <v>420035.38</v>
      </c>
      <c r="H32" s="43">
        <v>155283.47</v>
      </c>
      <c r="I32" s="16">
        <v>585</v>
      </c>
    </row>
    <row r="33" spans="1:9">
      <c r="A33" s="20"/>
      <c r="F33" s="16" t="s">
        <v>26</v>
      </c>
      <c r="G33" s="43">
        <v>257723.2</v>
      </c>
      <c r="H33" s="43">
        <v>89788.549999999988</v>
      </c>
      <c r="I33" s="16">
        <v>563</v>
      </c>
    </row>
    <row r="34" spans="1:9">
      <c r="A34" s="20"/>
    </row>
  </sheetData>
  <mergeCells count="4">
    <mergeCell ref="A4:J4"/>
    <mergeCell ref="A2:H2"/>
    <mergeCell ref="A14:J1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8"/>
  <sheetViews>
    <sheetView topLeftCell="A61" workbookViewId="0">
      <selection activeCell="A2" sqref="A2:L2"/>
    </sheetView>
  </sheetViews>
  <sheetFormatPr defaultRowHeight="15"/>
  <cols>
    <col min="1" max="3" width="14" customWidth="1"/>
  </cols>
  <sheetData>
    <row r="1" spans="1:12">
      <c r="A1" s="67" t="s">
        <v>389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>
      <c r="A2" s="69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4" spans="1:12">
      <c r="A4" s="13" t="s">
        <v>390</v>
      </c>
    </row>
    <row r="5" spans="1:12">
      <c r="A5" s="3" t="s">
        <v>5</v>
      </c>
      <c r="B5" s="3" t="s">
        <v>10</v>
      </c>
      <c r="C5" s="3" t="s">
        <v>12</v>
      </c>
    </row>
    <row r="6" spans="1:12">
      <c r="A6" s="16" t="s">
        <v>21</v>
      </c>
      <c r="B6" s="45">
        <v>670259.44999999995</v>
      </c>
      <c r="C6" s="45">
        <v>251468.09</v>
      </c>
    </row>
    <row r="7" spans="1:12">
      <c r="A7" s="16" t="s">
        <v>17</v>
      </c>
      <c r="B7" s="45">
        <v>491161.96</v>
      </c>
      <c r="C7" s="45">
        <v>170454.87</v>
      </c>
    </row>
    <row r="8" spans="1:12">
      <c r="A8" s="16" t="s">
        <v>25</v>
      </c>
      <c r="B8" s="45">
        <v>460349.15</v>
      </c>
      <c r="C8" s="45">
        <v>167112.35</v>
      </c>
    </row>
    <row r="9" spans="1:12">
      <c r="A9" s="16" t="s">
        <v>38</v>
      </c>
      <c r="B9" s="45">
        <v>327862.64</v>
      </c>
      <c r="C9" s="45">
        <v>115043.37</v>
      </c>
    </row>
    <row r="10" spans="1:12">
      <c r="A10" s="16" t="s">
        <v>71</v>
      </c>
      <c r="B10" s="45">
        <v>269543.33</v>
      </c>
      <c r="C10" s="45">
        <v>100675.05</v>
      </c>
    </row>
    <row r="13" spans="1:12">
      <c r="A13" s="13" t="s">
        <v>391</v>
      </c>
    </row>
    <row r="14" spans="1:12">
      <c r="A14" s="3" t="s">
        <v>6</v>
      </c>
      <c r="B14" s="3" t="s">
        <v>10</v>
      </c>
    </row>
    <row r="15" spans="1:12">
      <c r="A15" s="16" t="s">
        <v>65</v>
      </c>
      <c r="B15" s="45">
        <v>84040.73000000001</v>
      </c>
    </row>
    <row r="16" spans="1:12">
      <c r="A16" s="16" t="s">
        <v>33</v>
      </c>
      <c r="B16" s="45">
        <v>39774.6</v>
      </c>
    </row>
    <row r="17" spans="1:3">
      <c r="A17" s="16" t="s">
        <v>29</v>
      </c>
      <c r="B17" s="45">
        <v>1067033.96</v>
      </c>
    </row>
    <row r="18" spans="1:3">
      <c r="A18" s="16" t="s">
        <v>22</v>
      </c>
      <c r="B18" s="45">
        <v>222977.75</v>
      </c>
    </row>
    <row r="19" spans="1:3">
      <c r="A19" s="16" t="s">
        <v>40</v>
      </c>
      <c r="B19" s="45">
        <v>28573.24</v>
      </c>
    </row>
    <row r="20" spans="1:3">
      <c r="A20" s="16" t="s">
        <v>68</v>
      </c>
      <c r="B20" s="45">
        <v>99017.67</v>
      </c>
    </row>
    <row r="21" spans="1:3">
      <c r="A21" s="16" t="s">
        <v>18</v>
      </c>
      <c r="B21" s="45">
        <v>420035.38</v>
      </c>
    </row>
    <row r="22" spans="1:3">
      <c r="A22" s="16" t="s">
        <v>26</v>
      </c>
      <c r="B22" s="45">
        <v>257723.2</v>
      </c>
    </row>
    <row r="25" spans="1:3">
      <c r="A25" s="13" t="s">
        <v>392</v>
      </c>
    </row>
    <row r="26" spans="1:3">
      <c r="A26" s="3" t="s">
        <v>3</v>
      </c>
      <c r="B26" s="3" t="s">
        <v>10</v>
      </c>
      <c r="C26" s="3" t="s">
        <v>12</v>
      </c>
    </row>
    <row r="27" spans="1:3">
      <c r="A27" s="16" t="s">
        <v>307</v>
      </c>
      <c r="B27" s="45">
        <v>224012.78</v>
      </c>
      <c r="C27" s="45">
        <v>77487.73</v>
      </c>
    </row>
    <row r="28" spans="1:3">
      <c r="A28" s="16" t="s">
        <v>309</v>
      </c>
      <c r="B28" s="45">
        <v>368866.21</v>
      </c>
      <c r="C28" s="45">
        <v>130216.13</v>
      </c>
    </row>
    <row r="29" spans="1:3">
      <c r="A29" s="16" t="s">
        <v>310</v>
      </c>
      <c r="B29" s="45">
        <v>180873.32</v>
      </c>
      <c r="C29" s="45">
        <v>69680.97</v>
      </c>
    </row>
    <row r="30" spans="1:3">
      <c r="A30" s="16" t="s">
        <v>311</v>
      </c>
      <c r="B30" s="45">
        <v>77849.09</v>
      </c>
      <c r="C30" s="45">
        <v>30278.84</v>
      </c>
    </row>
    <row r="31" spans="1:3">
      <c r="A31" s="16" t="s">
        <v>312</v>
      </c>
      <c r="B31" s="45">
        <v>220981.55</v>
      </c>
      <c r="C31" s="45">
        <v>80448.5</v>
      </c>
    </row>
    <row r="32" spans="1:3">
      <c r="A32" s="16" t="s">
        <v>313</v>
      </c>
      <c r="B32" s="45">
        <v>147974.69</v>
      </c>
      <c r="C32" s="45">
        <v>55637.55</v>
      </c>
    </row>
    <row r="33" spans="1:3">
      <c r="A33" s="16" t="s">
        <v>314</v>
      </c>
      <c r="B33" s="45">
        <v>124617.27</v>
      </c>
      <c r="C33" s="45">
        <v>48062</v>
      </c>
    </row>
    <row r="34" spans="1:3">
      <c r="A34" s="16" t="s">
        <v>315</v>
      </c>
      <c r="B34" s="45">
        <v>197561.79</v>
      </c>
      <c r="C34" s="45">
        <v>72062.48</v>
      </c>
    </row>
    <row r="35" spans="1:3">
      <c r="A35" s="16" t="s">
        <v>316</v>
      </c>
      <c r="B35" s="45">
        <v>194036.44</v>
      </c>
      <c r="C35" s="45">
        <v>70501.919999999998</v>
      </c>
    </row>
    <row r="36" spans="1:3">
      <c r="A36" s="16" t="s">
        <v>317</v>
      </c>
      <c r="B36" s="45">
        <v>242354.41</v>
      </c>
      <c r="C36" s="45">
        <v>79664.639999999999</v>
      </c>
    </row>
    <row r="37" spans="1:3">
      <c r="A37" s="16" t="s">
        <v>318</v>
      </c>
      <c r="B37" s="45">
        <v>111531.55</v>
      </c>
      <c r="C37" s="45">
        <v>42419.33</v>
      </c>
    </row>
    <row r="38" spans="1:3">
      <c r="A38" s="16" t="s">
        <v>319</v>
      </c>
      <c r="B38" s="45">
        <v>128517.43</v>
      </c>
      <c r="C38" s="45">
        <v>48293.64</v>
      </c>
    </row>
  </sheetData>
  <mergeCells count="2">
    <mergeCell ref="A2:L2"/>
    <mergeCell ref="A1:L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8"/>
  <sheetViews>
    <sheetView tabSelected="1" workbookViewId="0">
      <selection activeCell="A34" sqref="A34:F34"/>
    </sheetView>
  </sheetViews>
  <sheetFormatPr defaultRowHeight="15"/>
  <cols>
    <col min="1" max="1" width="12" customWidth="1"/>
    <col min="2" max="2" width="16" customWidth="1"/>
    <col min="3" max="12" width="12" customWidth="1"/>
  </cols>
  <sheetData>
    <row r="1" spans="1:12" ht="35.1" customHeight="1">
      <c r="A1" s="64" t="s">
        <v>393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>
      <c r="A2" s="56" t="s">
        <v>394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4" spans="1:12">
      <c r="A4" s="61" t="s">
        <v>290</v>
      </c>
      <c r="B4" s="73"/>
      <c r="C4" s="55" t="s">
        <v>291</v>
      </c>
      <c r="D4" s="73"/>
      <c r="E4" s="57" t="s">
        <v>294</v>
      </c>
      <c r="F4" s="73"/>
      <c r="G4" s="62" t="s">
        <v>395</v>
      </c>
      <c r="H4" s="73"/>
      <c r="I4" s="63" t="s">
        <v>293</v>
      </c>
      <c r="J4" s="73"/>
      <c r="K4" s="65" t="s">
        <v>396</v>
      </c>
      <c r="L4" s="73"/>
    </row>
    <row r="5" spans="1:12" ht="24.95" customHeight="1">
      <c r="A5" s="58" t="s">
        <v>397</v>
      </c>
      <c r="B5" s="73"/>
      <c r="C5" s="51" t="s">
        <v>398</v>
      </c>
      <c r="D5" s="73"/>
      <c r="E5" s="52" t="s">
        <v>399</v>
      </c>
      <c r="F5" s="73"/>
      <c r="G5" s="59" t="s">
        <v>400</v>
      </c>
      <c r="H5" s="73"/>
      <c r="I5" s="60" t="s">
        <v>401</v>
      </c>
      <c r="J5" s="73"/>
      <c r="K5" s="53" t="s">
        <v>402</v>
      </c>
      <c r="L5" s="73"/>
    </row>
    <row r="7" spans="1:12">
      <c r="A7" s="74" t="s">
        <v>403</v>
      </c>
      <c r="B7" s="66"/>
      <c r="C7" s="66"/>
      <c r="D7" s="66"/>
      <c r="E7" s="66"/>
      <c r="F7" s="66"/>
    </row>
    <row r="8" spans="1:12">
      <c r="A8" s="54" t="s">
        <v>404</v>
      </c>
      <c r="B8" s="66"/>
      <c r="C8" s="66"/>
      <c r="D8" s="66"/>
      <c r="E8" s="66"/>
      <c r="F8" s="66"/>
    </row>
    <row r="9" spans="1:12">
      <c r="A9" s="54" t="s">
        <v>405</v>
      </c>
      <c r="B9" s="66"/>
      <c r="C9" s="66"/>
      <c r="D9" s="66"/>
      <c r="E9" s="66"/>
      <c r="F9" s="66"/>
    </row>
    <row r="10" spans="1:12">
      <c r="A10" s="54" t="s">
        <v>406</v>
      </c>
      <c r="B10" s="66"/>
      <c r="C10" s="66"/>
      <c r="D10" s="66"/>
      <c r="E10" s="66"/>
      <c r="F10" s="66"/>
    </row>
    <row r="11" spans="1:12">
      <c r="A11" s="54" t="s">
        <v>407</v>
      </c>
      <c r="B11" s="66"/>
      <c r="C11" s="66"/>
      <c r="D11" s="66"/>
      <c r="E11" s="66"/>
      <c r="F11" s="66"/>
    </row>
    <row r="12" spans="1:12">
      <c r="A12" s="54" t="s">
        <v>408</v>
      </c>
      <c r="B12" s="66"/>
      <c r="C12" s="66"/>
      <c r="D12" s="66"/>
      <c r="E12" s="66"/>
      <c r="F12" s="66"/>
    </row>
    <row r="13" spans="1:12">
      <c r="A13" s="54" t="s">
        <v>409</v>
      </c>
      <c r="B13" s="66"/>
      <c r="C13" s="66"/>
      <c r="D13" s="66"/>
      <c r="E13" s="66"/>
      <c r="F13" s="66"/>
    </row>
    <row r="15" spans="1:12">
      <c r="A15" s="75" t="s">
        <v>410</v>
      </c>
      <c r="B15" s="66"/>
      <c r="C15" s="66"/>
      <c r="D15" s="66"/>
      <c r="F15" s="75" t="s">
        <v>411</v>
      </c>
      <c r="G15" s="66"/>
      <c r="H15" s="66"/>
      <c r="I15" s="66"/>
    </row>
    <row r="16" spans="1:12">
      <c r="A16" s="5" t="s">
        <v>295</v>
      </c>
      <c r="B16" s="5" t="s">
        <v>4</v>
      </c>
      <c r="C16" s="5" t="s">
        <v>10</v>
      </c>
      <c r="D16" s="5" t="s">
        <v>12</v>
      </c>
      <c r="F16" s="5" t="s">
        <v>5</v>
      </c>
      <c r="G16" s="5" t="s">
        <v>10</v>
      </c>
      <c r="H16" s="5" t="s">
        <v>12</v>
      </c>
      <c r="I16" s="5" t="s">
        <v>412</v>
      </c>
    </row>
    <row r="17" spans="1:9">
      <c r="A17" s="46">
        <v>1</v>
      </c>
      <c r="B17" s="47" t="s">
        <v>37</v>
      </c>
      <c r="C17" s="48">
        <v>142694.18</v>
      </c>
      <c r="D17" s="48">
        <v>52286.17</v>
      </c>
      <c r="F17" s="16" t="s">
        <v>21</v>
      </c>
      <c r="G17" s="45">
        <v>670259.44999999995</v>
      </c>
      <c r="H17" s="45">
        <v>251468.09</v>
      </c>
      <c r="I17" s="44">
        <v>0.37518022312106158</v>
      </c>
    </row>
    <row r="18" spans="1:9">
      <c r="A18" s="49">
        <v>2</v>
      </c>
      <c r="B18" s="16" t="s">
        <v>109</v>
      </c>
      <c r="C18" s="45">
        <v>132527.78</v>
      </c>
      <c r="D18" s="45">
        <v>52361.36</v>
      </c>
      <c r="F18" s="16" t="s">
        <v>17</v>
      </c>
      <c r="G18" s="45">
        <v>491161.96</v>
      </c>
      <c r="H18" s="45">
        <v>170454.87</v>
      </c>
      <c r="I18" s="44">
        <v>0.34704411962196752</v>
      </c>
    </row>
    <row r="19" spans="1:9">
      <c r="A19" s="49">
        <v>3</v>
      </c>
      <c r="B19" s="16" t="s">
        <v>50</v>
      </c>
      <c r="C19" s="45">
        <v>125189.71</v>
      </c>
      <c r="D19" s="45">
        <v>42667.53</v>
      </c>
      <c r="F19" s="16" t="s">
        <v>25</v>
      </c>
      <c r="G19" s="45">
        <v>460349.15</v>
      </c>
      <c r="H19" s="45">
        <v>167112.35</v>
      </c>
      <c r="I19" s="44">
        <v>0.36301218325264628</v>
      </c>
    </row>
    <row r="20" spans="1:9">
      <c r="A20" s="49">
        <v>4</v>
      </c>
      <c r="B20" s="16" t="s">
        <v>115</v>
      </c>
      <c r="C20" s="45">
        <v>90275.58</v>
      </c>
      <c r="D20" s="45">
        <v>37088.320000000007</v>
      </c>
      <c r="F20" s="16" t="s">
        <v>38</v>
      </c>
      <c r="G20" s="45">
        <v>327862.64</v>
      </c>
      <c r="H20" s="45">
        <v>115043.37</v>
      </c>
      <c r="I20" s="44">
        <v>0.35088892714339148</v>
      </c>
    </row>
    <row r="21" spans="1:9">
      <c r="A21" s="49">
        <v>5</v>
      </c>
      <c r="B21" s="16" t="s">
        <v>35</v>
      </c>
      <c r="C21" s="45">
        <v>89266.209999999992</v>
      </c>
      <c r="D21" s="45">
        <v>35120.44</v>
      </c>
      <c r="F21" s="16" t="s">
        <v>71</v>
      </c>
      <c r="G21" s="45">
        <v>269543.33</v>
      </c>
      <c r="H21" s="45">
        <v>100675.05</v>
      </c>
      <c r="I21" s="44">
        <v>0.37350228625579418</v>
      </c>
    </row>
    <row r="24" spans="1:9">
      <c r="A24" s="74" t="s">
        <v>413</v>
      </c>
      <c r="B24" s="66"/>
      <c r="C24" s="66"/>
      <c r="D24" s="66"/>
      <c r="E24" s="66"/>
      <c r="F24" s="66"/>
    </row>
    <row r="25" spans="1:9">
      <c r="A25" s="76" t="s">
        <v>414</v>
      </c>
      <c r="B25" s="66"/>
      <c r="C25" s="66"/>
      <c r="D25" s="66"/>
      <c r="E25" s="66"/>
      <c r="F25" s="66"/>
    </row>
    <row r="26" spans="1:9">
      <c r="A26" s="76" t="s">
        <v>415</v>
      </c>
      <c r="B26" s="66"/>
      <c r="C26" s="66"/>
      <c r="D26" s="66"/>
      <c r="E26" s="66"/>
      <c r="F26" s="66"/>
    </row>
    <row r="27" spans="1:9">
      <c r="A27" s="76" t="s">
        <v>416</v>
      </c>
      <c r="B27" s="66"/>
      <c r="C27" s="66"/>
      <c r="D27" s="66"/>
      <c r="E27" s="66"/>
      <c r="F27" s="66"/>
    </row>
    <row r="28" spans="1:9">
      <c r="A28" s="76" t="s">
        <v>417</v>
      </c>
      <c r="B28" s="66"/>
      <c r="C28" s="66"/>
      <c r="D28" s="66"/>
      <c r="E28" s="66"/>
      <c r="F28" s="66"/>
    </row>
    <row r="29" spans="1:9">
      <c r="A29" s="76" t="s">
        <v>418</v>
      </c>
      <c r="B29" s="66"/>
      <c r="C29" s="66"/>
      <c r="D29" s="66"/>
      <c r="E29" s="66"/>
      <c r="F29" s="66"/>
    </row>
    <row r="31" spans="1:9">
      <c r="A31" s="77"/>
      <c r="B31" s="66"/>
      <c r="C31" s="66"/>
      <c r="D31" s="66"/>
      <c r="E31" s="66"/>
      <c r="F31" s="66"/>
    </row>
    <row r="32" spans="1:9">
      <c r="A32" s="77"/>
      <c r="B32" s="66"/>
      <c r="C32" s="66"/>
      <c r="D32" s="66"/>
      <c r="E32" s="66"/>
      <c r="F32" s="66"/>
    </row>
    <row r="33" spans="1:6">
      <c r="A33" s="77"/>
      <c r="B33" s="66"/>
      <c r="C33" s="66"/>
      <c r="D33" s="66"/>
      <c r="E33" s="66"/>
      <c r="F33" s="66"/>
    </row>
    <row r="34" spans="1:6">
      <c r="A34" s="77"/>
      <c r="B34" s="66"/>
      <c r="C34" s="66"/>
      <c r="D34" s="66"/>
      <c r="E34" s="66"/>
      <c r="F34" s="66"/>
    </row>
    <row r="35" spans="1:6">
      <c r="A35" s="77"/>
      <c r="B35" s="66"/>
      <c r="C35" s="66"/>
      <c r="D35" s="66"/>
      <c r="E35" s="66"/>
      <c r="F35" s="66"/>
    </row>
    <row r="36" spans="1:6">
      <c r="A36" s="77"/>
      <c r="B36" s="66"/>
      <c r="C36" s="66"/>
      <c r="D36" s="66"/>
      <c r="E36" s="66"/>
      <c r="F36" s="66"/>
    </row>
    <row r="37" spans="1:6">
      <c r="A37" s="77"/>
      <c r="B37" s="66"/>
      <c r="C37" s="66"/>
      <c r="D37" s="66"/>
      <c r="E37" s="66"/>
      <c r="F37" s="66"/>
    </row>
    <row r="38" spans="1:6">
      <c r="A38" s="77"/>
      <c r="B38" s="66"/>
      <c r="C38" s="66"/>
      <c r="D38" s="66"/>
      <c r="E38" s="66"/>
      <c r="F38" s="66"/>
    </row>
  </sheetData>
  <mergeCells count="37">
    <mergeCell ref="A1:L1"/>
    <mergeCell ref="K4:L4"/>
    <mergeCell ref="A7:F7"/>
    <mergeCell ref="A25:F25"/>
    <mergeCell ref="A38:F38"/>
    <mergeCell ref="A4:B4"/>
    <mergeCell ref="G4:H4"/>
    <mergeCell ref="A11:F11"/>
    <mergeCell ref="A24:F24"/>
    <mergeCell ref="A35:F35"/>
    <mergeCell ref="A37:F37"/>
    <mergeCell ref="A10:F10"/>
    <mergeCell ref="A28:F28"/>
    <mergeCell ref="A13:F13"/>
    <mergeCell ref="A9:F9"/>
    <mergeCell ref="F15:I15"/>
    <mergeCell ref="A33:F33"/>
    <mergeCell ref="C4:D4"/>
    <mergeCell ref="A32:F32"/>
    <mergeCell ref="A2:L2"/>
    <mergeCell ref="E4:F4"/>
    <mergeCell ref="A31:F31"/>
    <mergeCell ref="A8:F8"/>
    <mergeCell ref="A15:D15"/>
    <mergeCell ref="A29:F29"/>
    <mergeCell ref="A5:B5"/>
    <mergeCell ref="G5:H5"/>
    <mergeCell ref="I5:J5"/>
    <mergeCell ref="I4:J4"/>
    <mergeCell ref="A36:F36"/>
    <mergeCell ref="C5:D5"/>
    <mergeCell ref="A27:F27"/>
    <mergeCell ref="E5:F5"/>
    <mergeCell ref="K5:L5"/>
    <mergeCell ref="A12:F12"/>
    <mergeCell ref="A26:F26"/>
    <mergeCell ref="A34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2026-10-08T07:13:34Z</dcterms:created>
  <dcterms:modified xsi:type="dcterms:W3CDTF">2026-10-12T05:51:19Z</dcterms:modified>
  <cp:category/>
  <cp:contentStatus/>
</cp:coreProperties>
</file>